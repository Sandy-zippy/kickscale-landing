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fill" sheetId="1" state="visible" r:id="rId1"/>
    <sheet name="Categories" sheetId="2" state="visible" r:id="rId2"/>
    <sheet name="Collections" sheetId="3" state="visible" r:id="rId3"/>
    <sheet name="Warehouses" sheetId="4" state="visible" r:id="rId4"/>
    <sheet name="Designs &amp; stock" sheetId="5" state="visible" r:id="rId5"/>
    <sheet name="Lists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666666"/>
    </font>
    <font>
      <name val="Arial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B00710"/>
      </patternFill>
    </fill>
    <fill>
      <patternFill patternType="solid">
        <fgColor rgb="00EDEDED"/>
      </patternFill>
    </fill>
    <fill>
      <patternFill patternType="solid">
        <fgColor rgb="00111111"/>
      </patternFill>
    </fill>
    <fill>
      <patternFill patternType="solid">
        <fgColor rgb="00FDE2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4" fillId="5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vertical="top" wrapText="1"/>
    </xf>
    <xf numFmtId="0" fontId="2" fillId="3" borderId="0" pivotButton="0" quotePrefix="0" xfId="0"/>
    <xf numFmtId="0" fontId="3" fillId="0" borderId="0" pivotButton="0" quotePrefix="0" xfId="0"/>
    <xf numFmtId="0" fontId="1" fillId="4" borderId="0" applyAlignment="1" pivotButton="0" quotePrefix="0" xfId="0">
      <alignment vertical="top" wrapText="1"/>
    </xf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Template version</t>
        </is>
      </c>
      <c r="B1" s="2" t="inlineStr">
        <is>
          <t>EGO-INV-4</t>
        </is>
      </c>
    </row>
    <row r="2">
      <c r="A2" s="1" t="inlineStr"/>
      <c r="B2" s="3" t="inlineStr"/>
    </row>
    <row r="3">
      <c r="A3" s="1" t="inlineStr">
        <is>
          <t>This file is for</t>
        </is>
      </c>
      <c r="B3" s="3" t="inlineStr">
        <is>
          <t>EGO Premium and Big E together: there is one inventory. Upload it in EGO Master: Import from Excel, in the Inventory card. Only the Owner, a Director or Warehouse &amp; Dispatch can upload it.</t>
        </is>
      </c>
    </row>
    <row r="4">
      <c r="A4" s="1" t="inlineStr">
        <is>
          <t>Before anything is saved</t>
        </is>
      </c>
      <c r="B4" s="3" t="inlineStr">
        <is>
          <t>Every row is checked and shown as new, update (already saved) or error with the reason. You then press Save.</t>
        </is>
      </c>
    </row>
    <row r="5">
      <c r="A5" s="1" t="inlineStr">
        <is>
          <t>Order to fill</t>
        </is>
      </c>
      <c r="B5" s="3" t="inlineStr">
        <is>
          <t>1 Categories, 2 Collections (with the box size), 3 Warehouses, 4 Designs &amp; stock. Each sheet picks names from the sheets before it with a dropdown, so fill them in that order.</t>
        </is>
      </c>
    </row>
    <row r="6">
      <c r="A6" s="1" t="inlineStr">
        <is>
          <t>Designs &amp; stock</t>
        </is>
      </c>
      <c r="B6" s="3" t="inlineStr">
        <is>
          <t>One row per design per warehouse. A design in two warehouses is two rows (repeat the design). A design not in stock yet: leave Warehouse and Boxes empty.</t>
        </is>
      </c>
    </row>
    <row r="7">
      <c r="A7" s="1" t="inlineStr">
        <is>
          <t>Box size</t>
        </is>
      </c>
      <c r="B7" s="3" t="inlineStr">
        <is>
          <t>On Collections, fill the box size in sq ft OR square metres. Sq ft in stock is then worked out by itself, in this file and in EGO Master.</t>
        </is>
      </c>
    </row>
    <row r="8">
      <c r="A8" s="1" t="inlineStr">
        <is>
          <t>Boxes</t>
        </is>
      </c>
      <c r="B8" s="3" t="inlineStr">
        <is>
          <t>Stock is counted in whole boxes: what is in that warehouse today. Uploading the file again replaces these numbers, it does not add to them.</t>
        </is>
      </c>
    </row>
    <row r="9">
      <c r="A9" s="1" t="inlineStr">
        <is>
          <t>Matching</t>
        </is>
      </c>
      <c r="B9" s="3" t="inlineStr">
        <is>
          <t>A design is matched by its code, or by its name inside its collection. Uploading again updates, never duplicates.</t>
        </is>
      </c>
    </row>
    <row r="10">
      <c r="A10" s="1" t="inlineStr">
        <is>
          <t>Compulsory columns</t>
        </is>
      </c>
      <c r="B10" s="3" t="inlineStr">
        <is>
          <t>Red headers ending with * must be filled on every row.</t>
        </is>
      </c>
    </row>
    <row r="11">
      <c r="A11" s="1" t="inlineStr">
        <is>
          <t>Example rows</t>
        </is>
      </c>
      <c r="B11" s="3" t="inlineStr">
        <is>
          <t>Row 2 of every sheet is a grey EXAMPLE row. It is skipped.</t>
        </is>
      </c>
    </row>
    <row r="12">
      <c r="A12" s="1" t="inlineStr">
        <is>
          <t>Columns</t>
        </is>
      </c>
      <c r="B12" s="3" t="inlineStr">
        <is>
          <t>Do not rename, move or add columns.</t>
        </is>
      </c>
    </row>
    <row r="13">
      <c r="A13" s="1" t="inlineStr"/>
      <c r="B13" s="3" t="inlineStr"/>
    </row>
    <row r="14">
      <c r="A14" s="1" t="inlineStr">
        <is>
          <t>Categories</t>
        </is>
      </c>
      <c r="B14" s="3" t="inlineStr">
        <is>
          <t>Every kind of floor. Today's categories are already listed: add any that are missing (for example PVC Soffit &amp; Cladding).</t>
        </is>
      </c>
    </row>
    <row r="15">
      <c r="A15" s="1" t="inlineStr">
        <is>
          <t>Collections</t>
        </is>
      </c>
      <c r="B15" s="3" t="inlineStr">
        <is>
          <t>One row per collection (Divine, Delta, Slim Chevron...): its category, its box size in sq ft or square metres, then the specifications all its designs share.</t>
        </is>
      </c>
    </row>
    <row r="16">
      <c r="A16" s="1" t="inlineStr">
        <is>
          <t>Warehouses</t>
        </is>
      </c>
      <c r="B16" s="3" t="inlineStr">
        <is>
          <t>One row per warehouse: name, city, address.</t>
        </is>
      </c>
    </row>
    <row r="17">
      <c r="A17" s="1" t="inlineStr">
        <is>
          <t>Designs &amp; stock</t>
        </is>
      </c>
      <c r="B17" s="3" t="inlineStr">
        <is>
          <t>One row per design per warehouse: category, collection, design, code, type, colour, the warehouse and the boxes there today. Sq ft are worked out. After this, stock changes inside EGO Master with Stock in / out.</t>
        </is>
      </c>
    </row>
    <row r="19">
      <c r="A19" s="1" t="inlineStr">
        <is>
          <t>Categories listed</t>
        </is>
      </c>
      <c r="B19" s="4">
        <f>MAX(0,COUNTA(Categories!A2:A500)-1)</f>
        <v/>
      </c>
    </row>
    <row r="20">
      <c r="A20" s="1" t="inlineStr">
        <is>
          <t>Collections listed</t>
        </is>
      </c>
      <c r="B20" s="4">
        <f>MAX(0,COUNTA(Collections!B2:B2000)-1)</f>
        <v/>
      </c>
    </row>
    <row r="21">
      <c r="A21" s="1" t="inlineStr">
        <is>
          <t>Warehouses listed</t>
        </is>
      </c>
      <c r="B21" s="4">
        <f>MAX(0,COUNTA(Warehouses!A2:A500)-1)</f>
        <v/>
      </c>
    </row>
    <row r="22">
      <c r="A22" s="1" t="inlineStr">
        <is>
          <t>Rows on Designs &amp; stock</t>
        </is>
      </c>
      <c r="B22" s="4">
        <f>MAX(0,COUNTA('Designs &amp; stock'!C2:C5000)-1)</f>
        <v/>
      </c>
    </row>
    <row r="23">
      <c r="A23" s="1" t="inlineStr">
        <is>
          <t>Boxes in stock</t>
        </is>
      </c>
      <c r="B23" s="4">
        <f>SUM('Designs &amp; stock'!H3:H5000)</f>
        <v/>
      </c>
    </row>
    <row r="24">
      <c r="A24" s="1" t="inlineStr">
        <is>
          <t>Sq ft in stock</t>
        </is>
      </c>
      <c r="B24" s="4">
        <f>SUM('Designs &amp; stock'!I3:I5000)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 ht="48" customHeight="1">
      <c r="A1" s="5" t="inlineStr">
        <is>
          <t>Category name *</t>
        </is>
      </c>
    </row>
    <row r="2">
      <c r="A2" s="6" t="inlineStr">
        <is>
          <t>EXAMPLE PVC Soffit &amp; Cladding</t>
        </is>
      </c>
    </row>
    <row r="3">
      <c r="A3" s="7" t="inlineStr">
        <is>
          <t>LVT</t>
        </is>
      </c>
    </row>
    <row r="4">
      <c r="A4" s="7" t="inlineStr">
        <is>
          <t>SPC</t>
        </is>
      </c>
    </row>
    <row r="5">
      <c r="A5" s="7" t="inlineStr">
        <is>
          <t>Laminate</t>
        </is>
      </c>
    </row>
    <row r="6">
      <c r="A6" s="7" t="inlineStr">
        <is>
          <t>Engineered</t>
        </is>
      </c>
    </row>
    <row r="7">
      <c r="A7" s="7" t="inlineStr">
        <is>
          <t>Hywood</t>
        </is>
      </c>
    </row>
    <row r="8">
      <c r="A8" s="7" t="inlineStr">
        <is>
          <t>WPC Tile Deck</t>
        </is>
      </c>
    </row>
    <row r="9">
      <c r="A9" s="7" t="inlineStr">
        <is>
          <t>WPC Plank Deck</t>
        </is>
      </c>
    </row>
    <row r="10">
      <c r="A10" s="7" t="inlineStr">
        <is>
          <t>PVC Soffit &amp; Cladding</t>
        </is>
      </c>
    </row>
    <row r="11">
      <c r="A11" s="7" t="inlineStr">
        <is>
          <t>Bamboo Deck</t>
        </is>
      </c>
    </row>
    <row r="12">
      <c r="A12" s="7" t="inlineStr">
        <is>
          <t>Bamboo Cladding / Soffit</t>
        </is>
      </c>
    </row>
    <row r="13">
      <c r="A13" s="7" t="n"/>
    </row>
    <row r="14">
      <c r="A14" s="7" t="n"/>
    </row>
    <row r="15">
      <c r="A15" s="7" t="n"/>
    </row>
    <row r="16">
      <c r="A16" s="7" t="n"/>
    </row>
    <row r="17">
      <c r="A17" s="7" t="n"/>
    </row>
    <row r="18">
      <c r="A18" s="7" t="n"/>
    </row>
    <row r="19">
      <c r="A19" s="7" t="n"/>
    </row>
    <row r="20">
      <c r="A20" s="7" t="n"/>
    </row>
    <row r="21">
      <c r="A21" s="7" t="n"/>
    </row>
    <row r="22">
      <c r="A22" s="7" t="n"/>
    </row>
    <row r="23">
      <c r="A23" s="7" t="n"/>
    </row>
    <row r="24">
      <c r="A24" s="7" t="n"/>
    </row>
    <row r="25">
      <c r="A25" s="7" t="n"/>
    </row>
    <row r="26">
      <c r="A26" s="7" t="n"/>
    </row>
    <row r="27">
      <c r="A27" s="7" t="n"/>
    </row>
    <row r="28">
      <c r="A28" s="7" t="n"/>
    </row>
    <row r="29">
      <c r="A29" s="7" t="n"/>
    </row>
    <row r="30">
      <c r="A30" s="7" t="n"/>
    </row>
    <row r="31">
      <c r="A31" s="7" t="n"/>
    </row>
    <row r="32">
      <c r="A32" s="7" t="n"/>
    </row>
    <row r="33">
      <c r="A33" s="7" t="n"/>
    </row>
    <row r="34">
      <c r="A34" s="7" t="n"/>
    </row>
    <row r="35">
      <c r="A35" s="7" t="n"/>
    </row>
    <row r="36">
      <c r="A36" s="7" t="n"/>
    </row>
    <row r="37">
      <c r="A37" s="7" t="n"/>
    </row>
    <row r="38">
      <c r="A38" s="7" t="n"/>
    </row>
    <row r="39">
      <c r="A39" s="7" t="n"/>
    </row>
    <row r="40">
      <c r="A40" s="7" t="n"/>
    </row>
    <row r="41">
      <c r="A41" s="7" t="n"/>
    </row>
    <row r="42">
      <c r="A42" s="7" t="n"/>
    </row>
    <row r="43">
      <c r="A43" s="7" t="n"/>
    </row>
    <row r="44">
      <c r="A44" s="7" t="n"/>
    </row>
    <row r="45">
      <c r="A45" s="7" t="n"/>
    </row>
    <row r="46">
      <c r="A46" s="7" t="n"/>
    </row>
    <row r="47">
      <c r="A47" s="7" t="n"/>
    </row>
    <row r="48">
      <c r="A48" s="7" t="n"/>
    </row>
    <row r="49">
      <c r="A49" s="7" t="n"/>
    </row>
    <row r="50">
      <c r="A50" s="7" t="n"/>
    </row>
    <row r="51">
      <c r="A51" s="7" t="n"/>
    </row>
    <row r="52">
      <c r="A52" s="7" t="n"/>
    </row>
    <row r="53">
      <c r="A53" s="7" t="n"/>
    </row>
    <row r="54">
      <c r="A54" s="7" t="n"/>
    </row>
    <row r="55">
      <c r="A55" s="7" t="n"/>
    </row>
    <row r="56">
      <c r="A56" s="7" t="n"/>
    </row>
    <row r="57">
      <c r="A57" s="7" t="n"/>
    </row>
    <row r="58">
      <c r="A58" s="7" t="n"/>
    </row>
    <row r="59">
      <c r="A59" s="7" t="n"/>
    </row>
    <row r="60">
      <c r="A60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3" customWidth="1" min="2" max="2"/>
    <col width="19" customWidth="1" min="3" max="3"/>
    <col width="3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8" customHeight="1">
      <c r="A1" s="5" t="inlineStr">
        <is>
          <t>Category (pick from the Categories sheet) *</t>
        </is>
      </c>
      <c r="B1" s="5" t="inlineStr">
        <is>
          <t>Collection name (e.g. Divine) *</t>
        </is>
      </c>
      <c r="C1" s="8" t="inlineStr">
        <is>
          <t>Box size in sq ft</t>
        </is>
      </c>
      <c r="D1" s="8" t="inlineStr">
        <is>
          <t>Box size in square metres (fill this OR sq ft)</t>
        </is>
      </c>
      <c r="E1" s="8" t="inlineStr">
        <is>
          <t>Pieces per box</t>
        </is>
      </c>
      <c r="F1" s="8" t="inlineStr">
        <is>
          <t>Size (mm)</t>
        </is>
      </c>
      <c r="G1" s="8" t="inlineStr">
        <is>
          <t>Thickness</t>
        </is>
      </c>
      <c r="H1" s="8" t="inlineStr">
        <is>
          <t>Wear layer</t>
        </is>
      </c>
    </row>
    <row r="2">
      <c r="A2" s="6" t="inlineStr">
        <is>
          <t>LVT</t>
        </is>
      </c>
      <c r="B2" s="6" t="inlineStr">
        <is>
          <t>EXAMPLE Divine</t>
        </is>
      </c>
      <c r="C2" s="6" t="n">
        <v>45</v>
      </c>
      <c r="D2" s="6" t="inlineStr"/>
      <c r="E2" s="6" t="n">
        <v>22</v>
      </c>
      <c r="F2" s="6" t="inlineStr">
        <is>
          <t>1219 x 178</t>
        </is>
      </c>
      <c r="G2" s="6" t="inlineStr">
        <is>
          <t>2.0mm</t>
        </is>
      </c>
      <c r="H2" s="6" t="inlineStr">
        <is>
          <t>0.1mm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</row>
  </sheetData>
  <dataValidations count="1">
    <dataValidation sqref="A2:A1000" showDropDown="0" showInputMessage="0" showErrorMessage="1" allowBlank="1" errorTitle="Not in the list" error="Choose a value from the dropdown." type="list">
      <formula1>='Categories'!$A$3:$A$1000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 ht="48" customHeight="1">
      <c r="A1" s="5" t="inlineStr">
        <is>
          <t>Warehouse name *</t>
        </is>
      </c>
      <c r="B1" s="8" t="inlineStr">
        <is>
          <t>City</t>
        </is>
      </c>
      <c r="C1" s="8" t="inlineStr">
        <is>
          <t>Address</t>
        </is>
      </c>
    </row>
    <row r="2">
      <c r="A2" s="6" t="inlineStr">
        <is>
          <t>EXAMPLE Bhiwandi godown</t>
        </is>
      </c>
      <c r="B2" s="6" t="inlineStr">
        <is>
          <t>Thane</t>
        </is>
      </c>
      <c r="C2" s="6" t="inlineStr">
        <is>
          <t>Gala 12, Mankoli Naka</t>
        </is>
      </c>
    </row>
    <row r="3">
      <c r="A3" s="7" t="n"/>
      <c r="B3" s="7" t="n"/>
      <c r="C3" s="7" t="n"/>
    </row>
    <row r="4">
      <c r="A4" s="7" t="n"/>
      <c r="B4" s="7" t="n"/>
      <c r="C4" s="7" t="n"/>
    </row>
    <row r="5">
      <c r="A5" s="7" t="n"/>
      <c r="B5" s="7" t="n"/>
      <c r="C5" s="7" t="n"/>
    </row>
    <row r="6">
      <c r="A6" s="7" t="n"/>
      <c r="B6" s="7" t="n"/>
      <c r="C6" s="7" t="n"/>
    </row>
    <row r="7">
      <c r="A7" s="7" t="n"/>
      <c r="B7" s="7" t="n"/>
      <c r="C7" s="7" t="n"/>
    </row>
    <row r="8">
      <c r="A8" s="7" t="n"/>
      <c r="B8" s="7" t="n"/>
      <c r="C8" s="7" t="n"/>
    </row>
    <row r="9">
      <c r="A9" s="7" t="n"/>
      <c r="B9" s="7" t="n"/>
      <c r="C9" s="7" t="n"/>
    </row>
    <row r="10">
      <c r="A10" s="7" t="n"/>
      <c r="B10" s="7" t="n"/>
      <c r="C10" s="7" t="n"/>
    </row>
    <row r="11">
      <c r="A11" s="7" t="n"/>
      <c r="B11" s="7" t="n"/>
      <c r="C11" s="7" t="n"/>
    </row>
    <row r="12">
      <c r="A12" s="7" t="n"/>
      <c r="B12" s="7" t="n"/>
      <c r="C12" s="7" t="n"/>
    </row>
    <row r="13">
      <c r="A13" s="7" t="n"/>
      <c r="B13" s="7" t="n"/>
      <c r="C13" s="7" t="n"/>
    </row>
    <row r="14">
      <c r="A14" s="7" t="n"/>
      <c r="B14" s="7" t="n"/>
      <c r="C14" s="7" t="n"/>
    </row>
    <row r="15">
      <c r="A15" s="7" t="n"/>
      <c r="B15" s="7" t="n"/>
      <c r="C15" s="7" t="n"/>
    </row>
    <row r="16">
      <c r="A16" s="7" t="n"/>
      <c r="B16" s="7" t="n"/>
      <c r="C16" s="7" t="n"/>
    </row>
    <row r="17">
      <c r="A17" s="7" t="n"/>
      <c r="B17" s="7" t="n"/>
      <c r="C17" s="7" t="n"/>
    </row>
    <row r="18">
      <c r="A18" s="7" t="n"/>
      <c r="B18" s="7" t="n"/>
      <c r="C18" s="7" t="n"/>
    </row>
    <row r="19">
      <c r="A19" s="7" t="n"/>
      <c r="B19" s="7" t="n"/>
      <c r="C19" s="7" t="n"/>
    </row>
    <row r="20">
      <c r="A20" s="7" t="n"/>
      <c r="B20" s="7" t="n"/>
      <c r="C20" s="7" t="n"/>
    </row>
    <row r="21">
      <c r="A21" s="7" t="n"/>
      <c r="B21" s="7" t="n"/>
      <c r="C21" s="7" t="n"/>
    </row>
    <row r="22">
      <c r="A22" s="7" t="n"/>
      <c r="B22" s="7" t="n"/>
      <c r="C22" s="7" t="n"/>
    </row>
    <row r="23">
      <c r="A23" s="7" t="n"/>
      <c r="B23" s="7" t="n"/>
      <c r="C23" s="7" t="n"/>
    </row>
    <row r="24">
      <c r="A24" s="7" t="n"/>
      <c r="B24" s="7" t="n"/>
      <c r="C24" s="7" t="n"/>
    </row>
    <row r="25">
      <c r="A25" s="7" t="n"/>
      <c r="B25" s="7" t="n"/>
      <c r="C25" s="7" t="n"/>
    </row>
    <row r="26">
      <c r="A26" s="7" t="n"/>
      <c r="B26" s="7" t="n"/>
      <c r="C26" s="7" t="n"/>
    </row>
    <row r="27">
      <c r="A27" s="7" t="n"/>
      <c r="B27" s="7" t="n"/>
      <c r="C27" s="7" t="n"/>
    </row>
    <row r="28">
      <c r="A28" s="7" t="n"/>
      <c r="B28" s="7" t="n"/>
      <c r="C28" s="7" t="n"/>
    </row>
    <row r="29">
      <c r="A29" s="7" t="n"/>
      <c r="B29" s="7" t="n"/>
      <c r="C29" s="7" t="n"/>
    </row>
    <row r="30">
      <c r="A30" s="7" t="n"/>
      <c r="B30" s="7" t="n"/>
      <c r="C30" s="7" t="n"/>
    </row>
    <row r="31">
      <c r="A31" s="7" t="n"/>
      <c r="B31" s="7" t="n"/>
      <c r="C31" s="7" t="n"/>
    </row>
    <row r="32">
      <c r="A32" s="7" t="n"/>
      <c r="B32" s="7" t="n"/>
      <c r="C32" s="7" t="n"/>
    </row>
    <row r="33">
      <c r="A33" s="7" t="n"/>
      <c r="B33" s="7" t="n"/>
      <c r="C33" s="7" t="n"/>
    </row>
    <row r="34">
      <c r="A34" s="7" t="n"/>
      <c r="B34" s="7" t="n"/>
      <c r="C34" s="7" t="n"/>
    </row>
    <row r="35">
      <c r="A35" s="7" t="n"/>
      <c r="B35" s="7" t="n"/>
      <c r="C35" s="7" t="n"/>
    </row>
    <row r="36">
      <c r="A36" s="7" t="n"/>
      <c r="B36" s="7" t="n"/>
      <c r="C36" s="7" t="n"/>
    </row>
    <row r="37">
      <c r="A37" s="7" t="n"/>
      <c r="B37" s="7" t="n"/>
      <c r="C37" s="7" t="n"/>
    </row>
    <row r="38">
      <c r="A38" s="7" t="n"/>
      <c r="B38" s="7" t="n"/>
      <c r="C38" s="7" t="n"/>
    </row>
    <row r="39">
      <c r="A39" s="7" t="n"/>
      <c r="B39" s="7" t="n"/>
      <c r="C39" s="7" t="n"/>
    </row>
    <row r="40">
      <c r="A40" s="7" t="n"/>
      <c r="B40" s="7" t="n"/>
      <c r="C40" s="7" t="n"/>
    </row>
    <row r="41">
      <c r="A41" s="7" t="n"/>
      <c r="B41" s="7" t="n"/>
      <c r="C41" s="7" t="n"/>
    </row>
    <row r="42">
      <c r="A42" s="7" t="n"/>
      <c r="B42" s="7" t="n"/>
      <c r="C42" s="7" t="n"/>
    </row>
    <row r="43">
      <c r="A43" s="7" t="n"/>
      <c r="B43" s="7" t="n"/>
      <c r="C43" s="7" t="n"/>
    </row>
    <row r="44">
      <c r="A44" s="7" t="n"/>
      <c r="B44" s="7" t="n"/>
      <c r="C44" s="7" t="n"/>
    </row>
    <row r="45">
      <c r="A45" s="7" t="n"/>
      <c r="B45" s="7" t="n"/>
      <c r="C45" s="7" t="n"/>
    </row>
    <row r="46">
      <c r="A46" s="7" t="n"/>
      <c r="B46" s="7" t="n"/>
      <c r="C46" s="7" t="n"/>
    </row>
    <row r="47">
      <c r="A47" s="7" t="n"/>
      <c r="B47" s="7" t="n"/>
      <c r="C47" s="7" t="n"/>
    </row>
    <row r="48">
      <c r="A48" s="7" t="n"/>
      <c r="B48" s="7" t="n"/>
      <c r="C48" s="7" t="n"/>
    </row>
    <row r="49">
      <c r="A49" s="7" t="n"/>
      <c r="B49" s="7" t="n"/>
      <c r="C49" s="7" t="n"/>
    </row>
    <row r="50">
      <c r="A50" s="7" t="n"/>
      <c r="B50" s="7" t="n"/>
      <c r="C50" s="7" t="n"/>
    </row>
    <row r="51">
      <c r="A51" s="7" t="n"/>
      <c r="B51" s="7" t="n"/>
      <c r="C51" s="7" t="n"/>
    </row>
    <row r="52">
      <c r="A52" s="7" t="n"/>
      <c r="B52" s="7" t="n"/>
      <c r="C52" s="7" t="n"/>
    </row>
    <row r="53">
      <c r="A53" s="7" t="n"/>
      <c r="B53" s="7" t="n"/>
      <c r="C53" s="7" t="n"/>
    </row>
    <row r="54">
      <c r="A54" s="7" t="n"/>
      <c r="B54" s="7" t="n"/>
      <c r="C54" s="7" t="n"/>
    </row>
    <row r="55">
      <c r="A55" s="7" t="n"/>
      <c r="B55" s="7" t="n"/>
      <c r="C55" s="7" t="n"/>
    </row>
    <row r="56">
      <c r="A56" s="7" t="n"/>
      <c r="B56" s="7" t="n"/>
      <c r="C56" s="7" t="n"/>
    </row>
    <row r="57">
      <c r="A57" s="7" t="n"/>
      <c r="B57" s="7" t="n"/>
      <c r="C57" s="7" t="n"/>
    </row>
    <row r="58">
      <c r="A58" s="7" t="n"/>
      <c r="B58" s="7" t="n"/>
      <c r="C58" s="7" t="n"/>
    </row>
    <row r="59">
      <c r="A59" s="7" t="n"/>
      <c r="B59" s="7" t="n"/>
      <c r="C59" s="7" t="n"/>
    </row>
    <row r="60">
      <c r="A60" s="7" t="n"/>
      <c r="B60" s="7" t="n"/>
      <c r="C60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6" customWidth="1" min="2" max="2"/>
    <col width="16" customWidth="1" min="3" max="3"/>
    <col width="22" customWidth="1" min="4" max="4"/>
    <col width="36" customWidth="1" min="5" max="5"/>
    <col width="17" customWidth="1" min="6" max="6"/>
    <col width="36" customWidth="1" min="7" max="7"/>
    <col width="31" customWidth="1" min="8" max="8"/>
    <col width="36" customWidth="1" min="9" max="9"/>
    <col width="16" customWidth="1" min="10" max="10"/>
  </cols>
  <sheetData>
    <row r="1" ht="48" customHeight="1">
      <c r="A1" s="8" t="inlineStr">
        <is>
          <t>Category (pick)</t>
        </is>
      </c>
      <c r="B1" s="5" t="inlineStr">
        <is>
          <t>Collection (pick from the Collections sheet) *</t>
        </is>
      </c>
      <c r="C1" s="5" t="inlineStr">
        <is>
          <t>Design name *</t>
        </is>
      </c>
      <c r="D1" s="8" t="inlineStr">
        <is>
          <t>Design code (if any)</t>
        </is>
      </c>
      <c r="E1" s="8" t="inlineStr">
        <is>
          <t>Type (Plank, Tile, Herringbone...)</t>
        </is>
      </c>
      <c r="F1" s="8" t="inlineStr">
        <is>
          <t>Colour or shade</t>
        </is>
      </c>
      <c r="G1" s="8" t="inlineStr">
        <is>
          <t>Warehouse (pick from the Warehouses sheet)</t>
        </is>
      </c>
      <c r="H1" s="8" t="inlineStr">
        <is>
          <t>Boxes in this warehouse today</t>
        </is>
      </c>
      <c r="I1" s="8" t="inlineStr">
        <is>
          <t>Sq ft in this warehouse (worked out, do not type)</t>
        </is>
      </c>
      <c r="J1" s="8" t="inlineStr">
        <is>
          <t>Status</t>
        </is>
      </c>
    </row>
    <row r="2">
      <c r="A2" s="6" t="inlineStr">
        <is>
          <t>LVT</t>
        </is>
      </c>
      <c r="B2" s="6" t="inlineStr">
        <is>
          <t>EXAMPLE Divine</t>
        </is>
      </c>
      <c r="C2" s="6" t="inlineStr">
        <is>
          <t>EXAMPLE Detroit Walnut</t>
        </is>
      </c>
      <c r="D2" s="6" t="inlineStr"/>
      <c r="E2" s="6" t="inlineStr">
        <is>
          <t>Plank</t>
        </is>
      </c>
      <c r="F2" s="6" t="inlineStr">
        <is>
          <t>Brown</t>
        </is>
      </c>
      <c r="G2" s="6" t="inlineStr">
        <is>
          <t>EXAMPLE Bhiwandi godown</t>
        </is>
      </c>
      <c r="H2" s="6" t="n">
        <v>120</v>
      </c>
      <c r="I2" s="6">
        <f>IF(OR(H2="",B2=""),"",IFERROR(ROUND(H2*MAX(VLOOKUP(B2,Collections!$B:$D,2,FALSE),VLOOKUP(B2,Collections!$B:$D,3,FALSE)*10.7639),0),"collection not found"))</f>
        <v/>
      </c>
      <c r="J2" s="6" t="inlineStr">
        <is>
          <t>Active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9">
        <f>IF(OR(H3="",B3=""),"",IFERROR(ROUND(H3*MAX(VLOOKUP(B3,Collections!$B:$D,2,FALSE),VLOOKUP(B3,Collections!$B:$D,3,FALSE)*10.7639),0),"collection not found"))</f>
        <v/>
      </c>
      <c r="J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9">
        <f>IF(OR(H4="",B4=""),"",IFERROR(ROUND(H4*MAX(VLOOKUP(B4,Collections!$B:$D,2,FALSE),VLOOKUP(B4,Collections!$B:$D,3,FALSE)*10.7639),0),"collection not found"))</f>
        <v/>
      </c>
      <c r="J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9">
        <f>IF(OR(H5="",B5=""),"",IFERROR(ROUND(H5*MAX(VLOOKUP(B5,Collections!$B:$D,2,FALSE),VLOOKUP(B5,Collections!$B:$D,3,FALSE)*10.7639),0),"collection not found"))</f>
        <v/>
      </c>
      <c r="J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9">
        <f>IF(OR(H6="",B6=""),"",IFERROR(ROUND(H6*MAX(VLOOKUP(B6,Collections!$B:$D,2,FALSE),VLOOKUP(B6,Collections!$B:$D,3,FALSE)*10.7639),0),"collection not found"))</f>
        <v/>
      </c>
      <c r="J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9">
        <f>IF(OR(H7="",B7=""),"",IFERROR(ROUND(H7*MAX(VLOOKUP(B7,Collections!$B:$D,2,FALSE),VLOOKUP(B7,Collections!$B:$D,3,FALSE)*10.7639),0),"collection not found"))</f>
        <v/>
      </c>
      <c r="J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9">
        <f>IF(OR(H8="",B8=""),"",IFERROR(ROUND(H8*MAX(VLOOKUP(B8,Collections!$B:$D,2,FALSE),VLOOKUP(B8,Collections!$B:$D,3,FALSE)*10.7639),0),"collection not found"))</f>
        <v/>
      </c>
      <c r="J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9">
        <f>IF(OR(H9="",B9=""),"",IFERROR(ROUND(H9*MAX(VLOOKUP(B9,Collections!$B:$D,2,FALSE),VLOOKUP(B9,Collections!$B:$D,3,FALSE)*10.7639),0),"collection not found"))</f>
        <v/>
      </c>
      <c r="J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9">
        <f>IF(OR(H10="",B10=""),"",IFERROR(ROUND(H10*MAX(VLOOKUP(B10,Collections!$B:$D,2,FALSE),VLOOKUP(B10,Collections!$B:$D,3,FALSE)*10.7639),0),"collection not found"))</f>
        <v/>
      </c>
      <c r="J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9">
        <f>IF(OR(H11="",B11=""),"",IFERROR(ROUND(H11*MAX(VLOOKUP(B11,Collections!$B:$D,2,FALSE),VLOOKUP(B11,Collections!$B:$D,3,FALSE)*10.7639),0),"collection not found"))</f>
        <v/>
      </c>
      <c r="J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9">
        <f>IF(OR(H12="",B12=""),"",IFERROR(ROUND(H12*MAX(VLOOKUP(B12,Collections!$B:$D,2,FALSE),VLOOKUP(B12,Collections!$B:$D,3,FALSE)*10.7639),0),"collection not found"))</f>
        <v/>
      </c>
      <c r="J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9">
        <f>IF(OR(H13="",B13=""),"",IFERROR(ROUND(H13*MAX(VLOOKUP(B13,Collections!$B:$D,2,FALSE),VLOOKUP(B13,Collections!$B:$D,3,FALSE)*10.7639),0),"collection not found"))</f>
        <v/>
      </c>
      <c r="J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9">
        <f>IF(OR(H14="",B14=""),"",IFERROR(ROUND(H14*MAX(VLOOKUP(B14,Collections!$B:$D,2,FALSE),VLOOKUP(B14,Collections!$B:$D,3,FALSE)*10.7639),0),"collection not found"))</f>
        <v/>
      </c>
      <c r="J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9">
        <f>IF(OR(H15="",B15=""),"",IFERROR(ROUND(H15*MAX(VLOOKUP(B15,Collections!$B:$D,2,FALSE),VLOOKUP(B15,Collections!$B:$D,3,FALSE)*10.7639),0),"collection not found"))</f>
        <v/>
      </c>
      <c r="J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9">
        <f>IF(OR(H16="",B16=""),"",IFERROR(ROUND(H16*MAX(VLOOKUP(B16,Collections!$B:$D,2,FALSE),VLOOKUP(B16,Collections!$B:$D,3,FALSE)*10.7639),0),"collection not found"))</f>
        <v/>
      </c>
      <c r="J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9">
        <f>IF(OR(H17="",B17=""),"",IFERROR(ROUND(H17*MAX(VLOOKUP(B17,Collections!$B:$D,2,FALSE),VLOOKUP(B17,Collections!$B:$D,3,FALSE)*10.7639),0),"collection not found"))</f>
        <v/>
      </c>
      <c r="J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9">
        <f>IF(OR(H18="",B18=""),"",IFERROR(ROUND(H18*MAX(VLOOKUP(B18,Collections!$B:$D,2,FALSE),VLOOKUP(B18,Collections!$B:$D,3,FALSE)*10.7639),0),"collection not found"))</f>
        <v/>
      </c>
      <c r="J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9">
        <f>IF(OR(H19="",B19=""),"",IFERROR(ROUND(H19*MAX(VLOOKUP(B19,Collections!$B:$D,2,FALSE),VLOOKUP(B19,Collections!$B:$D,3,FALSE)*10.7639),0),"collection not found"))</f>
        <v/>
      </c>
      <c r="J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9">
        <f>IF(OR(H20="",B20=""),"",IFERROR(ROUND(H20*MAX(VLOOKUP(B20,Collections!$B:$D,2,FALSE),VLOOKUP(B20,Collections!$B:$D,3,FALSE)*10.7639),0),"collection not found"))</f>
        <v/>
      </c>
      <c r="J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9">
        <f>IF(OR(H21="",B21=""),"",IFERROR(ROUND(H21*MAX(VLOOKUP(B21,Collections!$B:$D,2,FALSE),VLOOKUP(B21,Collections!$B:$D,3,FALSE)*10.7639),0),"collection not found"))</f>
        <v/>
      </c>
      <c r="J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9">
        <f>IF(OR(H22="",B22=""),"",IFERROR(ROUND(H22*MAX(VLOOKUP(B22,Collections!$B:$D,2,FALSE),VLOOKUP(B22,Collections!$B:$D,3,FALSE)*10.7639),0),"collection not found"))</f>
        <v/>
      </c>
      <c r="J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9">
        <f>IF(OR(H23="",B23=""),"",IFERROR(ROUND(H23*MAX(VLOOKUP(B23,Collections!$B:$D,2,FALSE),VLOOKUP(B23,Collections!$B:$D,3,FALSE)*10.7639),0),"collection not found"))</f>
        <v/>
      </c>
      <c r="J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9">
        <f>IF(OR(H24="",B24=""),"",IFERROR(ROUND(H24*MAX(VLOOKUP(B24,Collections!$B:$D,2,FALSE),VLOOKUP(B24,Collections!$B:$D,3,FALSE)*10.7639),0),"collection not found"))</f>
        <v/>
      </c>
      <c r="J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9">
        <f>IF(OR(H25="",B25=""),"",IFERROR(ROUND(H25*MAX(VLOOKUP(B25,Collections!$B:$D,2,FALSE),VLOOKUP(B25,Collections!$B:$D,3,FALSE)*10.7639),0),"collection not found"))</f>
        <v/>
      </c>
      <c r="J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9">
        <f>IF(OR(H26="",B26=""),"",IFERROR(ROUND(H26*MAX(VLOOKUP(B26,Collections!$B:$D,2,FALSE),VLOOKUP(B26,Collections!$B:$D,3,FALSE)*10.7639),0),"collection not found"))</f>
        <v/>
      </c>
      <c r="J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9">
        <f>IF(OR(H27="",B27=""),"",IFERROR(ROUND(H27*MAX(VLOOKUP(B27,Collections!$B:$D,2,FALSE),VLOOKUP(B27,Collections!$B:$D,3,FALSE)*10.7639),0),"collection not found"))</f>
        <v/>
      </c>
      <c r="J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9">
        <f>IF(OR(H28="",B28=""),"",IFERROR(ROUND(H28*MAX(VLOOKUP(B28,Collections!$B:$D,2,FALSE),VLOOKUP(B28,Collections!$B:$D,3,FALSE)*10.7639),0),"collection not found"))</f>
        <v/>
      </c>
      <c r="J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9">
        <f>IF(OR(H29="",B29=""),"",IFERROR(ROUND(H29*MAX(VLOOKUP(B29,Collections!$B:$D,2,FALSE),VLOOKUP(B29,Collections!$B:$D,3,FALSE)*10.7639),0),"collection not found"))</f>
        <v/>
      </c>
      <c r="J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9">
        <f>IF(OR(H30="",B30=""),"",IFERROR(ROUND(H30*MAX(VLOOKUP(B30,Collections!$B:$D,2,FALSE),VLOOKUP(B30,Collections!$B:$D,3,FALSE)*10.7639),0),"collection not found"))</f>
        <v/>
      </c>
      <c r="J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9">
        <f>IF(OR(H31="",B31=""),"",IFERROR(ROUND(H31*MAX(VLOOKUP(B31,Collections!$B:$D,2,FALSE),VLOOKUP(B31,Collections!$B:$D,3,FALSE)*10.7639),0),"collection not found"))</f>
        <v/>
      </c>
      <c r="J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9">
        <f>IF(OR(H32="",B32=""),"",IFERROR(ROUND(H32*MAX(VLOOKUP(B32,Collections!$B:$D,2,FALSE),VLOOKUP(B32,Collections!$B:$D,3,FALSE)*10.7639),0),"collection not found"))</f>
        <v/>
      </c>
      <c r="J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9">
        <f>IF(OR(H33="",B33=""),"",IFERROR(ROUND(H33*MAX(VLOOKUP(B33,Collections!$B:$D,2,FALSE),VLOOKUP(B33,Collections!$B:$D,3,FALSE)*10.7639),0),"collection not found"))</f>
        <v/>
      </c>
      <c r="J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9">
        <f>IF(OR(H34="",B34=""),"",IFERROR(ROUND(H34*MAX(VLOOKUP(B34,Collections!$B:$D,2,FALSE),VLOOKUP(B34,Collections!$B:$D,3,FALSE)*10.7639),0),"collection not found"))</f>
        <v/>
      </c>
      <c r="J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9">
        <f>IF(OR(H35="",B35=""),"",IFERROR(ROUND(H35*MAX(VLOOKUP(B35,Collections!$B:$D,2,FALSE),VLOOKUP(B35,Collections!$B:$D,3,FALSE)*10.7639),0),"collection not found"))</f>
        <v/>
      </c>
      <c r="J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9">
        <f>IF(OR(H36="",B36=""),"",IFERROR(ROUND(H36*MAX(VLOOKUP(B36,Collections!$B:$D,2,FALSE),VLOOKUP(B36,Collections!$B:$D,3,FALSE)*10.7639),0),"collection not found"))</f>
        <v/>
      </c>
      <c r="J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9">
        <f>IF(OR(H37="",B37=""),"",IFERROR(ROUND(H37*MAX(VLOOKUP(B37,Collections!$B:$D,2,FALSE),VLOOKUP(B37,Collections!$B:$D,3,FALSE)*10.7639),0),"collection not found"))</f>
        <v/>
      </c>
      <c r="J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9">
        <f>IF(OR(H38="",B38=""),"",IFERROR(ROUND(H38*MAX(VLOOKUP(B38,Collections!$B:$D,2,FALSE),VLOOKUP(B38,Collections!$B:$D,3,FALSE)*10.7639),0),"collection not found"))</f>
        <v/>
      </c>
      <c r="J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9">
        <f>IF(OR(H39="",B39=""),"",IFERROR(ROUND(H39*MAX(VLOOKUP(B39,Collections!$B:$D,2,FALSE),VLOOKUP(B39,Collections!$B:$D,3,FALSE)*10.7639),0),"collection not found"))</f>
        <v/>
      </c>
      <c r="J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9">
        <f>IF(OR(H40="",B40=""),"",IFERROR(ROUND(H40*MAX(VLOOKUP(B40,Collections!$B:$D,2,FALSE),VLOOKUP(B40,Collections!$B:$D,3,FALSE)*10.7639),0),"collection not found"))</f>
        <v/>
      </c>
      <c r="J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9">
        <f>IF(OR(H41="",B41=""),"",IFERROR(ROUND(H41*MAX(VLOOKUP(B41,Collections!$B:$D,2,FALSE),VLOOKUP(B41,Collections!$B:$D,3,FALSE)*10.7639),0),"collection not found"))</f>
        <v/>
      </c>
      <c r="J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9">
        <f>IF(OR(H42="",B42=""),"",IFERROR(ROUND(H42*MAX(VLOOKUP(B42,Collections!$B:$D,2,FALSE),VLOOKUP(B42,Collections!$B:$D,3,FALSE)*10.7639),0),"collection not found"))</f>
        <v/>
      </c>
      <c r="J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9">
        <f>IF(OR(H43="",B43=""),"",IFERROR(ROUND(H43*MAX(VLOOKUP(B43,Collections!$B:$D,2,FALSE),VLOOKUP(B43,Collections!$B:$D,3,FALSE)*10.7639),0),"collection not found"))</f>
        <v/>
      </c>
      <c r="J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9">
        <f>IF(OR(H44="",B44=""),"",IFERROR(ROUND(H44*MAX(VLOOKUP(B44,Collections!$B:$D,2,FALSE),VLOOKUP(B44,Collections!$B:$D,3,FALSE)*10.7639),0),"collection not found"))</f>
        <v/>
      </c>
      <c r="J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9">
        <f>IF(OR(H45="",B45=""),"",IFERROR(ROUND(H45*MAX(VLOOKUP(B45,Collections!$B:$D,2,FALSE),VLOOKUP(B45,Collections!$B:$D,3,FALSE)*10.7639),0),"collection not found"))</f>
        <v/>
      </c>
      <c r="J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9">
        <f>IF(OR(H46="",B46=""),"",IFERROR(ROUND(H46*MAX(VLOOKUP(B46,Collections!$B:$D,2,FALSE),VLOOKUP(B46,Collections!$B:$D,3,FALSE)*10.7639),0),"collection not found"))</f>
        <v/>
      </c>
      <c r="J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9">
        <f>IF(OR(H47="",B47=""),"",IFERROR(ROUND(H47*MAX(VLOOKUP(B47,Collections!$B:$D,2,FALSE),VLOOKUP(B47,Collections!$B:$D,3,FALSE)*10.7639),0),"collection not found"))</f>
        <v/>
      </c>
      <c r="J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9">
        <f>IF(OR(H48="",B48=""),"",IFERROR(ROUND(H48*MAX(VLOOKUP(B48,Collections!$B:$D,2,FALSE),VLOOKUP(B48,Collections!$B:$D,3,FALSE)*10.7639),0),"collection not found"))</f>
        <v/>
      </c>
      <c r="J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9">
        <f>IF(OR(H49="",B49=""),"",IFERROR(ROUND(H49*MAX(VLOOKUP(B49,Collections!$B:$D,2,FALSE),VLOOKUP(B49,Collections!$B:$D,3,FALSE)*10.7639),0),"collection not found"))</f>
        <v/>
      </c>
      <c r="J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9">
        <f>IF(OR(H50="",B50=""),"",IFERROR(ROUND(H50*MAX(VLOOKUP(B50,Collections!$B:$D,2,FALSE),VLOOKUP(B50,Collections!$B:$D,3,FALSE)*10.7639),0),"collection not found"))</f>
        <v/>
      </c>
      <c r="J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9">
        <f>IF(OR(H51="",B51=""),"",IFERROR(ROUND(H51*MAX(VLOOKUP(B51,Collections!$B:$D,2,FALSE),VLOOKUP(B51,Collections!$B:$D,3,FALSE)*10.7639),0),"collection not found"))</f>
        <v/>
      </c>
      <c r="J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9">
        <f>IF(OR(H52="",B52=""),"",IFERROR(ROUND(H52*MAX(VLOOKUP(B52,Collections!$B:$D,2,FALSE),VLOOKUP(B52,Collections!$B:$D,3,FALSE)*10.7639),0),"collection not found"))</f>
        <v/>
      </c>
      <c r="J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9">
        <f>IF(OR(H53="",B53=""),"",IFERROR(ROUND(H53*MAX(VLOOKUP(B53,Collections!$B:$D,2,FALSE),VLOOKUP(B53,Collections!$B:$D,3,FALSE)*10.7639),0),"collection not found"))</f>
        <v/>
      </c>
      <c r="J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9">
        <f>IF(OR(H54="",B54=""),"",IFERROR(ROUND(H54*MAX(VLOOKUP(B54,Collections!$B:$D,2,FALSE),VLOOKUP(B54,Collections!$B:$D,3,FALSE)*10.7639),0),"collection not found"))</f>
        <v/>
      </c>
      <c r="J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9">
        <f>IF(OR(H55="",B55=""),"",IFERROR(ROUND(H55*MAX(VLOOKUP(B55,Collections!$B:$D,2,FALSE),VLOOKUP(B55,Collections!$B:$D,3,FALSE)*10.7639),0),"collection not found"))</f>
        <v/>
      </c>
      <c r="J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9">
        <f>IF(OR(H56="",B56=""),"",IFERROR(ROUND(H56*MAX(VLOOKUP(B56,Collections!$B:$D,2,FALSE),VLOOKUP(B56,Collections!$B:$D,3,FALSE)*10.7639),0),"collection not found"))</f>
        <v/>
      </c>
      <c r="J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9">
        <f>IF(OR(H57="",B57=""),"",IFERROR(ROUND(H57*MAX(VLOOKUP(B57,Collections!$B:$D,2,FALSE),VLOOKUP(B57,Collections!$B:$D,3,FALSE)*10.7639),0),"collection not found"))</f>
        <v/>
      </c>
      <c r="J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9">
        <f>IF(OR(H58="",B58=""),"",IFERROR(ROUND(H58*MAX(VLOOKUP(B58,Collections!$B:$D,2,FALSE),VLOOKUP(B58,Collections!$B:$D,3,FALSE)*10.7639),0),"collection not found"))</f>
        <v/>
      </c>
      <c r="J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9">
        <f>IF(OR(H59="",B59=""),"",IFERROR(ROUND(H59*MAX(VLOOKUP(B59,Collections!$B:$D,2,FALSE),VLOOKUP(B59,Collections!$B:$D,3,FALSE)*10.7639),0),"collection not found"))</f>
        <v/>
      </c>
      <c r="J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9">
        <f>IF(OR(H60="",B60=""),"",IFERROR(ROUND(H60*MAX(VLOOKUP(B60,Collections!$B:$D,2,FALSE),VLOOKUP(B60,Collections!$B:$D,3,FALSE)*10.7639),0),"collection not found"))</f>
        <v/>
      </c>
      <c r="J60" s="7" t="n"/>
    </row>
    <row r="61">
      <c r="I61" s="10">
        <f>IF(OR(H61="",B61=""),"",IFERROR(ROUND(H61*MAX(VLOOKUP(B61,Collections!$B:$D,2,FALSE),VLOOKUP(B61,Collections!$B:$D,3,FALSE)*10.7639),0),"collection not found"))</f>
        <v/>
      </c>
    </row>
    <row r="62">
      <c r="I62" s="10">
        <f>IF(OR(H62="",B62=""),"",IFERROR(ROUND(H62*MAX(VLOOKUP(B62,Collections!$B:$D,2,FALSE),VLOOKUP(B62,Collections!$B:$D,3,FALSE)*10.7639),0),"collection not found"))</f>
        <v/>
      </c>
    </row>
    <row r="63">
      <c r="I63" s="10">
        <f>IF(OR(H63="",B63=""),"",IFERROR(ROUND(H63*MAX(VLOOKUP(B63,Collections!$B:$D,2,FALSE),VLOOKUP(B63,Collections!$B:$D,3,FALSE)*10.7639),0),"collection not found"))</f>
        <v/>
      </c>
    </row>
    <row r="64">
      <c r="I64" s="10">
        <f>IF(OR(H64="",B64=""),"",IFERROR(ROUND(H64*MAX(VLOOKUP(B64,Collections!$B:$D,2,FALSE),VLOOKUP(B64,Collections!$B:$D,3,FALSE)*10.7639),0),"collection not found"))</f>
        <v/>
      </c>
    </row>
    <row r="65">
      <c r="I65" s="10">
        <f>IF(OR(H65="",B65=""),"",IFERROR(ROUND(H65*MAX(VLOOKUP(B65,Collections!$B:$D,2,FALSE),VLOOKUP(B65,Collections!$B:$D,3,FALSE)*10.7639),0),"collection not found"))</f>
        <v/>
      </c>
    </row>
    <row r="66">
      <c r="I66" s="10">
        <f>IF(OR(H66="",B66=""),"",IFERROR(ROUND(H66*MAX(VLOOKUP(B66,Collections!$B:$D,2,FALSE),VLOOKUP(B66,Collections!$B:$D,3,FALSE)*10.7639),0),"collection not found"))</f>
        <v/>
      </c>
    </row>
    <row r="67">
      <c r="I67" s="10">
        <f>IF(OR(H67="",B67=""),"",IFERROR(ROUND(H67*MAX(VLOOKUP(B67,Collections!$B:$D,2,FALSE),VLOOKUP(B67,Collections!$B:$D,3,FALSE)*10.7639),0),"collection not found"))</f>
        <v/>
      </c>
    </row>
    <row r="68">
      <c r="I68" s="10">
        <f>IF(OR(H68="",B68=""),"",IFERROR(ROUND(H68*MAX(VLOOKUP(B68,Collections!$B:$D,2,FALSE),VLOOKUP(B68,Collections!$B:$D,3,FALSE)*10.7639),0),"collection not found"))</f>
        <v/>
      </c>
    </row>
    <row r="69">
      <c r="I69" s="10">
        <f>IF(OR(H69="",B69=""),"",IFERROR(ROUND(H69*MAX(VLOOKUP(B69,Collections!$B:$D,2,FALSE),VLOOKUP(B69,Collections!$B:$D,3,FALSE)*10.7639),0),"collection not found"))</f>
        <v/>
      </c>
    </row>
    <row r="70">
      <c r="I70" s="10">
        <f>IF(OR(H70="",B70=""),"",IFERROR(ROUND(H70*MAX(VLOOKUP(B70,Collections!$B:$D,2,FALSE),VLOOKUP(B70,Collections!$B:$D,3,FALSE)*10.7639),0),"collection not found"))</f>
        <v/>
      </c>
    </row>
    <row r="71">
      <c r="I71" s="10">
        <f>IF(OR(H71="",B71=""),"",IFERROR(ROUND(H71*MAX(VLOOKUP(B71,Collections!$B:$D,2,FALSE),VLOOKUP(B71,Collections!$B:$D,3,FALSE)*10.7639),0),"collection not found"))</f>
        <v/>
      </c>
    </row>
    <row r="72">
      <c r="I72" s="10">
        <f>IF(OR(H72="",B72=""),"",IFERROR(ROUND(H72*MAX(VLOOKUP(B72,Collections!$B:$D,2,FALSE),VLOOKUP(B72,Collections!$B:$D,3,FALSE)*10.7639),0),"collection not found"))</f>
        <v/>
      </c>
    </row>
    <row r="73">
      <c r="I73" s="10">
        <f>IF(OR(H73="",B73=""),"",IFERROR(ROUND(H73*MAX(VLOOKUP(B73,Collections!$B:$D,2,FALSE),VLOOKUP(B73,Collections!$B:$D,3,FALSE)*10.7639),0),"collection not found"))</f>
        <v/>
      </c>
    </row>
    <row r="74">
      <c r="I74" s="10">
        <f>IF(OR(H74="",B74=""),"",IFERROR(ROUND(H74*MAX(VLOOKUP(B74,Collections!$B:$D,2,FALSE),VLOOKUP(B74,Collections!$B:$D,3,FALSE)*10.7639),0),"collection not found"))</f>
        <v/>
      </c>
    </row>
    <row r="75">
      <c r="I75" s="10">
        <f>IF(OR(H75="",B75=""),"",IFERROR(ROUND(H75*MAX(VLOOKUP(B75,Collections!$B:$D,2,FALSE),VLOOKUP(B75,Collections!$B:$D,3,FALSE)*10.7639),0),"collection not found"))</f>
        <v/>
      </c>
    </row>
    <row r="76">
      <c r="I76" s="10">
        <f>IF(OR(H76="",B76=""),"",IFERROR(ROUND(H76*MAX(VLOOKUP(B76,Collections!$B:$D,2,FALSE),VLOOKUP(B76,Collections!$B:$D,3,FALSE)*10.7639),0),"collection not found"))</f>
        <v/>
      </c>
    </row>
    <row r="77">
      <c r="I77" s="10">
        <f>IF(OR(H77="",B77=""),"",IFERROR(ROUND(H77*MAX(VLOOKUP(B77,Collections!$B:$D,2,FALSE),VLOOKUP(B77,Collections!$B:$D,3,FALSE)*10.7639),0),"collection not found"))</f>
        <v/>
      </c>
    </row>
    <row r="78">
      <c r="I78" s="10">
        <f>IF(OR(H78="",B78=""),"",IFERROR(ROUND(H78*MAX(VLOOKUP(B78,Collections!$B:$D,2,FALSE),VLOOKUP(B78,Collections!$B:$D,3,FALSE)*10.7639),0),"collection not found"))</f>
        <v/>
      </c>
    </row>
    <row r="79">
      <c r="I79" s="10">
        <f>IF(OR(H79="",B79=""),"",IFERROR(ROUND(H79*MAX(VLOOKUP(B79,Collections!$B:$D,2,FALSE),VLOOKUP(B79,Collections!$B:$D,3,FALSE)*10.7639),0),"collection not found"))</f>
        <v/>
      </c>
    </row>
    <row r="80">
      <c r="I80" s="10">
        <f>IF(OR(H80="",B80=""),"",IFERROR(ROUND(H80*MAX(VLOOKUP(B80,Collections!$B:$D,2,FALSE),VLOOKUP(B80,Collections!$B:$D,3,FALSE)*10.7639),0),"collection not found"))</f>
        <v/>
      </c>
    </row>
    <row r="81">
      <c r="I81" s="10">
        <f>IF(OR(H81="",B81=""),"",IFERROR(ROUND(H81*MAX(VLOOKUP(B81,Collections!$B:$D,2,FALSE),VLOOKUP(B81,Collections!$B:$D,3,FALSE)*10.7639),0),"collection not found"))</f>
        <v/>
      </c>
    </row>
    <row r="82">
      <c r="I82" s="10">
        <f>IF(OR(H82="",B82=""),"",IFERROR(ROUND(H82*MAX(VLOOKUP(B82,Collections!$B:$D,2,FALSE),VLOOKUP(B82,Collections!$B:$D,3,FALSE)*10.7639),0),"collection not found"))</f>
        <v/>
      </c>
    </row>
    <row r="83">
      <c r="I83" s="10">
        <f>IF(OR(H83="",B83=""),"",IFERROR(ROUND(H83*MAX(VLOOKUP(B83,Collections!$B:$D,2,FALSE),VLOOKUP(B83,Collections!$B:$D,3,FALSE)*10.7639),0),"collection not found"))</f>
        <v/>
      </c>
    </row>
    <row r="84">
      <c r="I84" s="10">
        <f>IF(OR(H84="",B84=""),"",IFERROR(ROUND(H84*MAX(VLOOKUP(B84,Collections!$B:$D,2,FALSE),VLOOKUP(B84,Collections!$B:$D,3,FALSE)*10.7639),0),"collection not found"))</f>
        <v/>
      </c>
    </row>
    <row r="85">
      <c r="I85" s="10">
        <f>IF(OR(H85="",B85=""),"",IFERROR(ROUND(H85*MAX(VLOOKUP(B85,Collections!$B:$D,2,FALSE),VLOOKUP(B85,Collections!$B:$D,3,FALSE)*10.7639),0),"collection not found"))</f>
        <v/>
      </c>
    </row>
    <row r="86">
      <c r="I86" s="10">
        <f>IF(OR(H86="",B86=""),"",IFERROR(ROUND(H86*MAX(VLOOKUP(B86,Collections!$B:$D,2,FALSE),VLOOKUP(B86,Collections!$B:$D,3,FALSE)*10.7639),0),"collection not found"))</f>
        <v/>
      </c>
    </row>
    <row r="87">
      <c r="I87" s="10">
        <f>IF(OR(H87="",B87=""),"",IFERROR(ROUND(H87*MAX(VLOOKUP(B87,Collections!$B:$D,2,FALSE),VLOOKUP(B87,Collections!$B:$D,3,FALSE)*10.7639),0),"collection not found"))</f>
        <v/>
      </c>
    </row>
    <row r="88">
      <c r="I88" s="10">
        <f>IF(OR(H88="",B88=""),"",IFERROR(ROUND(H88*MAX(VLOOKUP(B88,Collections!$B:$D,2,FALSE),VLOOKUP(B88,Collections!$B:$D,3,FALSE)*10.7639),0),"collection not found"))</f>
        <v/>
      </c>
    </row>
    <row r="89">
      <c r="I89" s="10">
        <f>IF(OR(H89="",B89=""),"",IFERROR(ROUND(H89*MAX(VLOOKUP(B89,Collections!$B:$D,2,FALSE),VLOOKUP(B89,Collections!$B:$D,3,FALSE)*10.7639),0),"collection not found"))</f>
        <v/>
      </c>
    </row>
    <row r="90">
      <c r="I90" s="10">
        <f>IF(OR(H90="",B90=""),"",IFERROR(ROUND(H90*MAX(VLOOKUP(B90,Collections!$B:$D,2,FALSE),VLOOKUP(B90,Collections!$B:$D,3,FALSE)*10.7639),0),"collection not found"))</f>
        <v/>
      </c>
    </row>
    <row r="91">
      <c r="I91" s="10">
        <f>IF(OR(H91="",B91=""),"",IFERROR(ROUND(H91*MAX(VLOOKUP(B91,Collections!$B:$D,2,FALSE),VLOOKUP(B91,Collections!$B:$D,3,FALSE)*10.7639),0),"collection not found"))</f>
        <v/>
      </c>
    </row>
    <row r="92">
      <c r="I92" s="10">
        <f>IF(OR(H92="",B92=""),"",IFERROR(ROUND(H92*MAX(VLOOKUP(B92,Collections!$B:$D,2,FALSE),VLOOKUP(B92,Collections!$B:$D,3,FALSE)*10.7639),0),"collection not found"))</f>
        <v/>
      </c>
    </row>
    <row r="93">
      <c r="I93" s="10">
        <f>IF(OR(H93="",B93=""),"",IFERROR(ROUND(H93*MAX(VLOOKUP(B93,Collections!$B:$D,2,FALSE),VLOOKUP(B93,Collections!$B:$D,3,FALSE)*10.7639),0),"collection not found"))</f>
        <v/>
      </c>
    </row>
    <row r="94">
      <c r="I94" s="10">
        <f>IF(OR(H94="",B94=""),"",IFERROR(ROUND(H94*MAX(VLOOKUP(B94,Collections!$B:$D,2,FALSE),VLOOKUP(B94,Collections!$B:$D,3,FALSE)*10.7639),0),"collection not found"))</f>
        <v/>
      </c>
    </row>
    <row r="95">
      <c r="I95" s="10">
        <f>IF(OR(H95="",B95=""),"",IFERROR(ROUND(H95*MAX(VLOOKUP(B95,Collections!$B:$D,2,FALSE),VLOOKUP(B95,Collections!$B:$D,3,FALSE)*10.7639),0),"collection not found"))</f>
        <v/>
      </c>
    </row>
    <row r="96">
      <c r="I96" s="10">
        <f>IF(OR(H96="",B96=""),"",IFERROR(ROUND(H96*MAX(VLOOKUP(B96,Collections!$B:$D,2,FALSE),VLOOKUP(B96,Collections!$B:$D,3,FALSE)*10.7639),0),"collection not found"))</f>
        <v/>
      </c>
    </row>
    <row r="97">
      <c r="I97" s="10">
        <f>IF(OR(H97="",B97=""),"",IFERROR(ROUND(H97*MAX(VLOOKUP(B97,Collections!$B:$D,2,FALSE),VLOOKUP(B97,Collections!$B:$D,3,FALSE)*10.7639),0),"collection not found"))</f>
        <v/>
      </c>
    </row>
    <row r="98">
      <c r="I98" s="10">
        <f>IF(OR(H98="",B98=""),"",IFERROR(ROUND(H98*MAX(VLOOKUP(B98,Collections!$B:$D,2,FALSE),VLOOKUP(B98,Collections!$B:$D,3,FALSE)*10.7639),0),"collection not found"))</f>
        <v/>
      </c>
    </row>
    <row r="99">
      <c r="I99" s="10">
        <f>IF(OR(H99="",B99=""),"",IFERROR(ROUND(H99*MAX(VLOOKUP(B99,Collections!$B:$D,2,FALSE),VLOOKUP(B99,Collections!$B:$D,3,FALSE)*10.7639),0),"collection not found"))</f>
        <v/>
      </c>
    </row>
    <row r="100">
      <c r="I100" s="10">
        <f>IF(OR(H100="",B100=""),"",IFERROR(ROUND(H100*MAX(VLOOKUP(B100,Collections!$B:$D,2,FALSE),VLOOKUP(B100,Collections!$B:$D,3,FALSE)*10.7639),0),"collection not found"))</f>
        <v/>
      </c>
    </row>
    <row r="101">
      <c r="I101" s="10">
        <f>IF(OR(H101="",B101=""),"",IFERROR(ROUND(H101*MAX(VLOOKUP(B101,Collections!$B:$D,2,FALSE),VLOOKUP(B101,Collections!$B:$D,3,FALSE)*10.7639),0),"collection not found"))</f>
        <v/>
      </c>
    </row>
    <row r="102">
      <c r="I102" s="10">
        <f>IF(OR(H102="",B102=""),"",IFERROR(ROUND(H102*MAX(VLOOKUP(B102,Collections!$B:$D,2,FALSE),VLOOKUP(B102,Collections!$B:$D,3,FALSE)*10.7639),0),"collection not found"))</f>
        <v/>
      </c>
    </row>
    <row r="103">
      <c r="I103" s="10">
        <f>IF(OR(H103="",B103=""),"",IFERROR(ROUND(H103*MAX(VLOOKUP(B103,Collections!$B:$D,2,FALSE),VLOOKUP(B103,Collections!$B:$D,3,FALSE)*10.7639),0),"collection not found"))</f>
        <v/>
      </c>
    </row>
    <row r="104">
      <c r="I104" s="10">
        <f>IF(OR(H104="",B104=""),"",IFERROR(ROUND(H104*MAX(VLOOKUP(B104,Collections!$B:$D,2,FALSE),VLOOKUP(B104,Collections!$B:$D,3,FALSE)*10.7639),0),"collection not found"))</f>
        <v/>
      </c>
    </row>
    <row r="105">
      <c r="I105" s="10">
        <f>IF(OR(H105="",B105=""),"",IFERROR(ROUND(H105*MAX(VLOOKUP(B105,Collections!$B:$D,2,FALSE),VLOOKUP(B105,Collections!$B:$D,3,FALSE)*10.7639),0),"collection not found"))</f>
        <v/>
      </c>
    </row>
    <row r="106">
      <c r="I106" s="10">
        <f>IF(OR(H106="",B106=""),"",IFERROR(ROUND(H106*MAX(VLOOKUP(B106,Collections!$B:$D,2,FALSE),VLOOKUP(B106,Collections!$B:$D,3,FALSE)*10.7639),0),"collection not found"))</f>
        <v/>
      </c>
    </row>
    <row r="107">
      <c r="I107" s="10">
        <f>IF(OR(H107="",B107=""),"",IFERROR(ROUND(H107*MAX(VLOOKUP(B107,Collections!$B:$D,2,FALSE),VLOOKUP(B107,Collections!$B:$D,3,FALSE)*10.7639),0),"collection not found"))</f>
        <v/>
      </c>
    </row>
    <row r="108">
      <c r="I108" s="10">
        <f>IF(OR(H108="",B108=""),"",IFERROR(ROUND(H108*MAX(VLOOKUP(B108,Collections!$B:$D,2,FALSE),VLOOKUP(B108,Collections!$B:$D,3,FALSE)*10.7639),0),"collection not found"))</f>
        <v/>
      </c>
    </row>
    <row r="109">
      <c r="I109" s="10">
        <f>IF(OR(H109="",B109=""),"",IFERROR(ROUND(H109*MAX(VLOOKUP(B109,Collections!$B:$D,2,FALSE),VLOOKUP(B109,Collections!$B:$D,3,FALSE)*10.7639),0),"collection not found"))</f>
        <v/>
      </c>
    </row>
    <row r="110">
      <c r="I110" s="10">
        <f>IF(OR(H110="",B110=""),"",IFERROR(ROUND(H110*MAX(VLOOKUP(B110,Collections!$B:$D,2,FALSE),VLOOKUP(B110,Collections!$B:$D,3,FALSE)*10.7639),0),"collection not found"))</f>
        <v/>
      </c>
    </row>
    <row r="111">
      <c r="I111" s="10">
        <f>IF(OR(H111="",B111=""),"",IFERROR(ROUND(H111*MAX(VLOOKUP(B111,Collections!$B:$D,2,FALSE),VLOOKUP(B111,Collections!$B:$D,3,FALSE)*10.7639),0),"collection not found"))</f>
        <v/>
      </c>
    </row>
    <row r="112">
      <c r="I112" s="10">
        <f>IF(OR(H112="",B112=""),"",IFERROR(ROUND(H112*MAX(VLOOKUP(B112,Collections!$B:$D,2,FALSE),VLOOKUP(B112,Collections!$B:$D,3,FALSE)*10.7639),0),"collection not found"))</f>
        <v/>
      </c>
    </row>
    <row r="113">
      <c r="I113" s="10">
        <f>IF(OR(H113="",B113=""),"",IFERROR(ROUND(H113*MAX(VLOOKUP(B113,Collections!$B:$D,2,FALSE),VLOOKUP(B113,Collections!$B:$D,3,FALSE)*10.7639),0),"collection not found"))</f>
        <v/>
      </c>
    </row>
    <row r="114">
      <c r="I114" s="10">
        <f>IF(OR(H114="",B114=""),"",IFERROR(ROUND(H114*MAX(VLOOKUP(B114,Collections!$B:$D,2,FALSE),VLOOKUP(B114,Collections!$B:$D,3,FALSE)*10.7639),0),"collection not found"))</f>
        <v/>
      </c>
    </row>
    <row r="115">
      <c r="I115" s="10">
        <f>IF(OR(H115="",B115=""),"",IFERROR(ROUND(H115*MAX(VLOOKUP(B115,Collections!$B:$D,2,FALSE),VLOOKUP(B115,Collections!$B:$D,3,FALSE)*10.7639),0),"collection not found"))</f>
        <v/>
      </c>
    </row>
    <row r="116">
      <c r="I116" s="10">
        <f>IF(OR(H116="",B116=""),"",IFERROR(ROUND(H116*MAX(VLOOKUP(B116,Collections!$B:$D,2,FALSE),VLOOKUP(B116,Collections!$B:$D,3,FALSE)*10.7639),0),"collection not found"))</f>
        <v/>
      </c>
    </row>
    <row r="117">
      <c r="I117" s="10">
        <f>IF(OR(H117="",B117=""),"",IFERROR(ROUND(H117*MAX(VLOOKUP(B117,Collections!$B:$D,2,FALSE),VLOOKUP(B117,Collections!$B:$D,3,FALSE)*10.7639),0),"collection not found"))</f>
        <v/>
      </c>
    </row>
    <row r="118">
      <c r="I118" s="10">
        <f>IF(OR(H118="",B118=""),"",IFERROR(ROUND(H118*MAX(VLOOKUP(B118,Collections!$B:$D,2,FALSE),VLOOKUP(B118,Collections!$B:$D,3,FALSE)*10.7639),0),"collection not found"))</f>
        <v/>
      </c>
    </row>
    <row r="119">
      <c r="I119" s="10">
        <f>IF(OR(H119="",B119=""),"",IFERROR(ROUND(H119*MAX(VLOOKUP(B119,Collections!$B:$D,2,FALSE),VLOOKUP(B119,Collections!$B:$D,3,FALSE)*10.7639),0),"collection not found"))</f>
        <v/>
      </c>
    </row>
    <row r="120">
      <c r="I120" s="10">
        <f>IF(OR(H120="",B120=""),"",IFERROR(ROUND(H120*MAX(VLOOKUP(B120,Collections!$B:$D,2,FALSE),VLOOKUP(B120,Collections!$B:$D,3,FALSE)*10.7639),0),"collection not found"))</f>
        <v/>
      </c>
    </row>
    <row r="121">
      <c r="I121" s="10">
        <f>IF(OR(H121="",B121=""),"",IFERROR(ROUND(H121*MAX(VLOOKUP(B121,Collections!$B:$D,2,FALSE),VLOOKUP(B121,Collections!$B:$D,3,FALSE)*10.7639),0),"collection not found"))</f>
        <v/>
      </c>
    </row>
    <row r="122">
      <c r="I122" s="10">
        <f>IF(OR(H122="",B122=""),"",IFERROR(ROUND(H122*MAX(VLOOKUP(B122,Collections!$B:$D,2,FALSE),VLOOKUP(B122,Collections!$B:$D,3,FALSE)*10.7639),0),"collection not found"))</f>
        <v/>
      </c>
    </row>
    <row r="123">
      <c r="I123" s="10">
        <f>IF(OR(H123="",B123=""),"",IFERROR(ROUND(H123*MAX(VLOOKUP(B123,Collections!$B:$D,2,FALSE),VLOOKUP(B123,Collections!$B:$D,3,FALSE)*10.7639),0),"collection not found"))</f>
        <v/>
      </c>
    </row>
    <row r="124">
      <c r="I124" s="10">
        <f>IF(OR(H124="",B124=""),"",IFERROR(ROUND(H124*MAX(VLOOKUP(B124,Collections!$B:$D,2,FALSE),VLOOKUP(B124,Collections!$B:$D,3,FALSE)*10.7639),0),"collection not found"))</f>
        <v/>
      </c>
    </row>
    <row r="125">
      <c r="I125" s="10">
        <f>IF(OR(H125="",B125=""),"",IFERROR(ROUND(H125*MAX(VLOOKUP(B125,Collections!$B:$D,2,FALSE),VLOOKUP(B125,Collections!$B:$D,3,FALSE)*10.7639),0),"collection not found"))</f>
        <v/>
      </c>
    </row>
    <row r="126">
      <c r="I126" s="10">
        <f>IF(OR(H126="",B126=""),"",IFERROR(ROUND(H126*MAX(VLOOKUP(B126,Collections!$B:$D,2,FALSE),VLOOKUP(B126,Collections!$B:$D,3,FALSE)*10.7639),0),"collection not found"))</f>
        <v/>
      </c>
    </row>
    <row r="127">
      <c r="I127" s="10">
        <f>IF(OR(H127="",B127=""),"",IFERROR(ROUND(H127*MAX(VLOOKUP(B127,Collections!$B:$D,2,FALSE),VLOOKUP(B127,Collections!$B:$D,3,FALSE)*10.7639),0),"collection not found"))</f>
        <v/>
      </c>
    </row>
    <row r="128">
      <c r="I128" s="10">
        <f>IF(OR(H128="",B128=""),"",IFERROR(ROUND(H128*MAX(VLOOKUP(B128,Collections!$B:$D,2,FALSE),VLOOKUP(B128,Collections!$B:$D,3,FALSE)*10.7639),0),"collection not found"))</f>
        <v/>
      </c>
    </row>
    <row r="129">
      <c r="I129" s="10">
        <f>IF(OR(H129="",B129=""),"",IFERROR(ROUND(H129*MAX(VLOOKUP(B129,Collections!$B:$D,2,FALSE),VLOOKUP(B129,Collections!$B:$D,3,FALSE)*10.7639),0),"collection not found"))</f>
        <v/>
      </c>
    </row>
    <row r="130">
      <c r="I130" s="10">
        <f>IF(OR(H130="",B130=""),"",IFERROR(ROUND(H130*MAX(VLOOKUP(B130,Collections!$B:$D,2,FALSE),VLOOKUP(B130,Collections!$B:$D,3,FALSE)*10.7639),0),"collection not found"))</f>
        <v/>
      </c>
    </row>
    <row r="131">
      <c r="I131" s="10">
        <f>IF(OR(H131="",B131=""),"",IFERROR(ROUND(H131*MAX(VLOOKUP(B131,Collections!$B:$D,2,FALSE),VLOOKUP(B131,Collections!$B:$D,3,FALSE)*10.7639),0),"collection not found"))</f>
        <v/>
      </c>
    </row>
    <row r="132">
      <c r="I132" s="10">
        <f>IF(OR(H132="",B132=""),"",IFERROR(ROUND(H132*MAX(VLOOKUP(B132,Collections!$B:$D,2,FALSE),VLOOKUP(B132,Collections!$B:$D,3,FALSE)*10.7639),0),"collection not found"))</f>
        <v/>
      </c>
    </row>
    <row r="133">
      <c r="I133" s="10">
        <f>IF(OR(H133="",B133=""),"",IFERROR(ROUND(H133*MAX(VLOOKUP(B133,Collections!$B:$D,2,FALSE),VLOOKUP(B133,Collections!$B:$D,3,FALSE)*10.7639),0),"collection not found"))</f>
        <v/>
      </c>
    </row>
    <row r="134">
      <c r="I134" s="10">
        <f>IF(OR(H134="",B134=""),"",IFERROR(ROUND(H134*MAX(VLOOKUP(B134,Collections!$B:$D,2,FALSE),VLOOKUP(B134,Collections!$B:$D,3,FALSE)*10.7639),0),"collection not found"))</f>
        <v/>
      </c>
    </row>
    <row r="135">
      <c r="I135" s="10">
        <f>IF(OR(H135="",B135=""),"",IFERROR(ROUND(H135*MAX(VLOOKUP(B135,Collections!$B:$D,2,FALSE),VLOOKUP(B135,Collections!$B:$D,3,FALSE)*10.7639),0),"collection not found"))</f>
        <v/>
      </c>
    </row>
    <row r="136">
      <c r="I136" s="10">
        <f>IF(OR(H136="",B136=""),"",IFERROR(ROUND(H136*MAX(VLOOKUP(B136,Collections!$B:$D,2,FALSE),VLOOKUP(B136,Collections!$B:$D,3,FALSE)*10.7639),0),"collection not found"))</f>
        <v/>
      </c>
    </row>
    <row r="137">
      <c r="I137" s="10">
        <f>IF(OR(H137="",B137=""),"",IFERROR(ROUND(H137*MAX(VLOOKUP(B137,Collections!$B:$D,2,FALSE),VLOOKUP(B137,Collections!$B:$D,3,FALSE)*10.7639),0),"collection not found"))</f>
        <v/>
      </c>
    </row>
    <row r="138">
      <c r="I138" s="10">
        <f>IF(OR(H138="",B138=""),"",IFERROR(ROUND(H138*MAX(VLOOKUP(B138,Collections!$B:$D,2,FALSE),VLOOKUP(B138,Collections!$B:$D,3,FALSE)*10.7639),0),"collection not found"))</f>
        <v/>
      </c>
    </row>
    <row r="139">
      <c r="I139" s="10">
        <f>IF(OR(H139="",B139=""),"",IFERROR(ROUND(H139*MAX(VLOOKUP(B139,Collections!$B:$D,2,FALSE),VLOOKUP(B139,Collections!$B:$D,3,FALSE)*10.7639),0),"collection not found"))</f>
        <v/>
      </c>
    </row>
    <row r="140">
      <c r="I140" s="10">
        <f>IF(OR(H140="",B140=""),"",IFERROR(ROUND(H140*MAX(VLOOKUP(B140,Collections!$B:$D,2,FALSE),VLOOKUP(B140,Collections!$B:$D,3,FALSE)*10.7639),0),"collection not found"))</f>
        <v/>
      </c>
    </row>
    <row r="141">
      <c r="I141" s="10">
        <f>IF(OR(H141="",B141=""),"",IFERROR(ROUND(H141*MAX(VLOOKUP(B141,Collections!$B:$D,2,FALSE),VLOOKUP(B141,Collections!$B:$D,3,FALSE)*10.7639),0),"collection not found"))</f>
        <v/>
      </c>
    </row>
    <row r="142">
      <c r="I142" s="10">
        <f>IF(OR(H142="",B142=""),"",IFERROR(ROUND(H142*MAX(VLOOKUP(B142,Collections!$B:$D,2,FALSE),VLOOKUP(B142,Collections!$B:$D,3,FALSE)*10.7639),0),"collection not found"))</f>
        <v/>
      </c>
    </row>
    <row r="143">
      <c r="I143" s="10">
        <f>IF(OR(H143="",B143=""),"",IFERROR(ROUND(H143*MAX(VLOOKUP(B143,Collections!$B:$D,2,FALSE),VLOOKUP(B143,Collections!$B:$D,3,FALSE)*10.7639),0),"collection not found"))</f>
        <v/>
      </c>
    </row>
    <row r="144">
      <c r="I144" s="10">
        <f>IF(OR(H144="",B144=""),"",IFERROR(ROUND(H144*MAX(VLOOKUP(B144,Collections!$B:$D,2,FALSE),VLOOKUP(B144,Collections!$B:$D,3,FALSE)*10.7639),0),"collection not found"))</f>
        <v/>
      </c>
    </row>
    <row r="145">
      <c r="I145" s="10">
        <f>IF(OR(H145="",B145=""),"",IFERROR(ROUND(H145*MAX(VLOOKUP(B145,Collections!$B:$D,2,FALSE),VLOOKUP(B145,Collections!$B:$D,3,FALSE)*10.7639),0),"collection not found"))</f>
        <v/>
      </c>
    </row>
    <row r="146">
      <c r="I146" s="10">
        <f>IF(OR(H146="",B146=""),"",IFERROR(ROUND(H146*MAX(VLOOKUP(B146,Collections!$B:$D,2,FALSE),VLOOKUP(B146,Collections!$B:$D,3,FALSE)*10.7639),0),"collection not found"))</f>
        <v/>
      </c>
    </row>
    <row r="147">
      <c r="I147" s="10">
        <f>IF(OR(H147="",B147=""),"",IFERROR(ROUND(H147*MAX(VLOOKUP(B147,Collections!$B:$D,2,FALSE),VLOOKUP(B147,Collections!$B:$D,3,FALSE)*10.7639),0),"collection not found"))</f>
        <v/>
      </c>
    </row>
    <row r="148">
      <c r="I148" s="10">
        <f>IF(OR(H148="",B148=""),"",IFERROR(ROUND(H148*MAX(VLOOKUP(B148,Collections!$B:$D,2,FALSE),VLOOKUP(B148,Collections!$B:$D,3,FALSE)*10.7639),0),"collection not found"))</f>
        <v/>
      </c>
    </row>
    <row r="149">
      <c r="I149" s="10">
        <f>IF(OR(H149="",B149=""),"",IFERROR(ROUND(H149*MAX(VLOOKUP(B149,Collections!$B:$D,2,FALSE),VLOOKUP(B149,Collections!$B:$D,3,FALSE)*10.7639),0),"collection not found"))</f>
        <v/>
      </c>
    </row>
    <row r="150">
      <c r="I150" s="10">
        <f>IF(OR(H150="",B150=""),"",IFERROR(ROUND(H150*MAX(VLOOKUP(B150,Collections!$B:$D,2,FALSE),VLOOKUP(B150,Collections!$B:$D,3,FALSE)*10.7639),0),"collection not found"))</f>
        <v/>
      </c>
    </row>
    <row r="151">
      <c r="I151" s="10">
        <f>IF(OR(H151="",B151=""),"",IFERROR(ROUND(H151*MAX(VLOOKUP(B151,Collections!$B:$D,2,FALSE),VLOOKUP(B151,Collections!$B:$D,3,FALSE)*10.7639),0),"collection not found"))</f>
        <v/>
      </c>
    </row>
    <row r="152">
      <c r="I152" s="10">
        <f>IF(OR(H152="",B152=""),"",IFERROR(ROUND(H152*MAX(VLOOKUP(B152,Collections!$B:$D,2,FALSE),VLOOKUP(B152,Collections!$B:$D,3,FALSE)*10.7639),0),"collection not found"))</f>
        <v/>
      </c>
    </row>
    <row r="153">
      <c r="I153" s="10">
        <f>IF(OR(H153="",B153=""),"",IFERROR(ROUND(H153*MAX(VLOOKUP(B153,Collections!$B:$D,2,FALSE),VLOOKUP(B153,Collections!$B:$D,3,FALSE)*10.7639),0),"collection not found"))</f>
        <v/>
      </c>
    </row>
    <row r="154">
      <c r="I154" s="10">
        <f>IF(OR(H154="",B154=""),"",IFERROR(ROUND(H154*MAX(VLOOKUP(B154,Collections!$B:$D,2,FALSE),VLOOKUP(B154,Collections!$B:$D,3,FALSE)*10.7639),0),"collection not found"))</f>
        <v/>
      </c>
    </row>
    <row r="155">
      <c r="I155" s="10">
        <f>IF(OR(H155="",B155=""),"",IFERROR(ROUND(H155*MAX(VLOOKUP(B155,Collections!$B:$D,2,FALSE),VLOOKUP(B155,Collections!$B:$D,3,FALSE)*10.7639),0),"collection not found"))</f>
        <v/>
      </c>
    </row>
    <row r="156">
      <c r="I156" s="10">
        <f>IF(OR(H156="",B156=""),"",IFERROR(ROUND(H156*MAX(VLOOKUP(B156,Collections!$B:$D,2,FALSE),VLOOKUP(B156,Collections!$B:$D,3,FALSE)*10.7639),0),"collection not found"))</f>
        <v/>
      </c>
    </row>
    <row r="157">
      <c r="I157" s="10">
        <f>IF(OR(H157="",B157=""),"",IFERROR(ROUND(H157*MAX(VLOOKUP(B157,Collections!$B:$D,2,FALSE),VLOOKUP(B157,Collections!$B:$D,3,FALSE)*10.7639),0),"collection not found"))</f>
        <v/>
      </c>
    </row>
    <row r="158">
      <c r="I158" s="10">
        <f>IF(OR(H158="",B158=""),"",IFERROR(ROUND(H158*MAX(VLOOKUP(B158,Collections!$B:$D,2,FALSE),VLOOKUP(B158,Collections!$B:$D,3,FALSE)*10.7639),0),"collection not found"))</f>
        <v/>
      </c>
    </row>
    <row r="159">
      <c r="I159" s="10">
        <f>IF(OR(H159="",B159=""),"",IFERROR(ROUND(H159*MAX(VLOOKUP(B159,Collections!$B:$D,2,FALSE),VLOOKUP(B159,Collections!$B:$D,3,FALSE)*10.7639),0),"collection not found"))</f>
        <v/>
      </c>
    </row>
    <row r="160">
      <c r="I160" s="10">
        <f>IF(OR(H160="",B160=""),"",IFERROR(ROUND(H160*MAX(VLOOKUP(B160,Collections!$B:$D,2,FALSE),VLOOKUP(B160,Collections!$B:$D,3,FALSE)*10.7639),0),"collection not found"))</f>
        <v/>
      </c>
    </row>
    <row r="161">
      <c r="I161" s="10">
        <f>IF(OR(H161="",B161=""),"",IFERROR(ROUND(H161*MAX(VLOOKUP(B161,Collections!$B:$D,2,FALSE),VLOOKUP(B161,Collections!$B:$D,3,FALSE)*10.7639),0),"collection not found"))</f>
        <v/>
      </c>
    </row>
    <row r="162">
      <c r="I162" s="10">
        <f>IF(OR(H162="",B162=""),"",IFERROR(ROUND(H162*MAX(VLOOKUP(B162,Collections!$B:$D,2,FALSE),VLOOKUP(B162,Collections!$B:$D,3,FALSE)*10.7639),0),"collection not found"))</f>
        <v/>
      </c>
    </row>
    <row r="163">
      <c r="I163" s="10">
        <f>IF(OR(H163="",B163=""),"",IFERROR(ROUND(H163*MAX(VLOOKUP(B163,Collections!$B:$D,2,FALSE),VLOOKUP(B163,Collections!$B:$D,3,FALSE)*10.7639),0),"collection not found"))</f>
        <v/>
      </c>
    </row>
    <row r="164">
      <c r="I164" s="10">
        <f>IF(OR(H164="",B164=""),"",IFERROR(ROUND(H164*MAX(VLOOKUP(B164,Collections!$B:$D,2,FALSE),VLOOKUP(B164,Collections!$B:$D,3,FALSE)*10.7639),0),"collection not found"))</f>
        <v/>
      </c>
    </row>
    <row r="165">
      <c r="I165" s="10">
        <f>IF(OR(H165="",B165=""),"",IFERROR(ROUND(H165*MAX(VLOOKUP(B165,Collections!$B:$D,2,FALSE),VLOOKUP(B165,Collections!$B:$D,3,FALSE)*10.7639),0),"collection not found"))</f>
        <v/>
      </c>
    </row>
    <row r="166">
      <c r="I166" s="10">
        <f>IF(OR(H166="",B166=""),"",IFERROR(ROUND(H166*MAX(VLOOKUP(B166,Collections!$B:$D,2,FALSE),VLOOKUP(B166,Collections!$B:$D,3,FALSE)*10.7639),0),"collection not found"))</f>
        <v/>
      </c>
    </row>
    <row r="167">
      <c r="I167" s="10">
        <f>IF(OR(H167="",B167=""),"",IFERROR(ROUND(H167*MAX(VLOOKUP(B167,Collections!$B:$D,2,FALSE),VLOOKUP(B167,Collections!$B:$D,3,FALSE)*10.7639),0),"collection not found"))</f>
        <v/>
      </c>
    </row>
    <row r="168">
      <c r="I168" s="10">
        <f>IF(OR(H168="",B168=""),"",IFERROR(ROUND(H168*MAX(VLOOKUP(B168,Collections!$B:$D,2,FALSE),VLOOKUP(B168,Collections!$B:$D,3,FALSE)*10.7639),0),"collection not found"))</f>
        <v/>
      </c>
    </row>
    <row r="169">
      <c r="I169" s="10">
        <f>IF(OR(H169="",B169=""),"",IFERROR(ROUND(H169*MAX(VLOOKUP(B169,Collections!$B:$D,2,FALSE),VLOOKUP(B169,Collections!$B:$D,3,FALSE)*10.7639),0),"collection not found"))</f>
        <v/>
      </c>
    </row>
    <row r="170">
      <c r="I170" s="10">
        <f>IF(OR(H170="",B170=""),"",IFERROR(ROUND(H170*MAX(VLOOKUP(B170,Collections!$B:$D,2,FALSE),VLOOKUP(B170,Collections!$B:$D,3,FALSE)*10.7639),0),"collection not found"))</f>
        <v/>
      </c>
    </row>
    <row r="171">
      <c r="I171" s="10">
        <f>IF(OR(H171="",B171=""),"",IFERROR(ROUND(H171*MAX(VLOOKUP(B171,Collections!$B:$D,2,FALSE),VLOOKUP(B171,Collections!$B:$D,3,FALSE)*10.7639),0),"collection not found"))</f>
        <v/>
      </c>
    </row>
    <row r="172">
      <c r="I172" s="10">
        <f>IF(OR(H172="",B172=""),"",IFERROR(ROUND(H172*MAX(VLOOKUP(B172,Collections!$B:$D,2,FALSE),VLOOKUP(B172,Collections!$B:$D,3,FALSE)*10.7639),0),"collection not found"))</f>
        <v/>
      </c>
    </row>
    <row r="173">
      <c r="I173" s="10">
        <f>IF(OR(H173="",B173=""),"",IFERROR(ROUND(H173*MAX(VLOOKUP(B173,Collections!$B:$D,2,FALSE),VLOOKUP(B173,Collections!$B:$D,3,FALSE)*10.7639),0),"collection not found"))</f>
        <v/>
      </c>
    </row>
    <row r="174">
      <c r="I174" s="10">
        <f>IF(OR(H174="",B174=""),"",IFERROR(ROUND(H174*MAX(VLOOKUP(B174,Collections!$B:$D,2,FALSE),VLOOKUP(B174,Collections!$B:$D,3,FALSE)*10.7639),0),"collection not found"))</f>
        <v/>
      </c>
    </row>
    <row r="175">
      <c r="I175" s="10">
        <f>IF(OR(H175="",B175=""),"",IFERROR(ROUND(H175*MAX(VLOOKUP(B175,Collections!$B:$D,2,FALSE),VLOOKUP(B175,Collections!$B:$D,3,FALSE)*10.7639),0),"collection not found"))</f>
        <v/>
      </c>
    </row>
    <row r="176">
      <c r="I176" s="10">
        <f>IF(OR(H176="",B176=""),"",IFERROR(ROUND(H176*MAX(VLOOKUP(B176,Collections!$B:$D,2,FALSE),VLOOKUP(B176,Collections!$B:$D,3,FALSE)*10.7639),0),"collection not found"))</f>
        <v/>
      </c>
    </row>
    <row r="177">
      <c r="I177" s="10">
        <f>IF(OR(H177="",B177=""),"",IFERROR(ROUND(H177*MAX(VLOOKUP(B177,Collections!$B:$D,2,FALSE),VLOOKUP(B177,Collections!$B:$D,3,FALSE)*10.7639),0),"collection not found"))</f>
        <v/>
      </c>
    </row>
    <row r="178">
      <c r="I178" s="10">
        <f>IF(OR(H178="",B178=""),"",IFERROR(ROUND(H178*MAX(VLOOKUP(B178,Collections!$B:$D,2,FALSE),VLOOKUP(B178,Collections!$B:$D,3,FALSE)*10.7639),0),"collection not found"))</f>
        <v/>
      </c>
    </row>
    <row r="179">
      <c r="I179" s="10">
        <f>IF(OR(H179="",B179=""),"",IFERROR(ROUND(H179*MAX(VLOOKUP(B179,Collections!$B:$D,2,FALSE),VLOOKUP(B179,Collections!$B:$D,3,FALSE)*10.7639),0),"collection not found"))</f>
        <v/>
      </c>
    </row>
    <row r="180">
      <c r="I180" s="10">
        <f>IF(OR(H180="",B180=""),"",IFERROR(ROUND(H180*MAX(VLOOKUP(B180,Collections!$B:$D,2,FALSE),VLOOKUP(B180,Collections!$B:$D,3,FALSE)*10.7639),0),"collection not found"))</f>
        <v/>
      </c>
    </row>
    <row r="181">
      <c r="I181" s="10">
        <f>IF(OR(H181="",B181=""),"",IFERROR(ROUND(H181*MAX(VLOOKUP(B181,Collections!$B:$D,2,FALSE),VLOOKUP(B181,Collections!$B:$D,3,FALSE)*10.7639),0),"collection not found"))</f>
        <v/>
      </c>
    </row>
    <row r="182">
      <c r="I182" s="10">
        <f>IF(OR(H182="",B182=""),"",IFERROR(ROUND(H182*MAX(VLOOKUP(B182,Collections!$B:$D,2,FALSE),VLOOKUP(B182,Collections!$B:$D,3,FALSE)*10.7639),0),"collection not found"))</f>
        <v/>
      </c>
    </row>
    <row r="183">
      <c r="I183" s="10">
        <f>IF(OR(H183="",B183=""),"",IFERROR(ROUND(H183*MAX(VLOOKUP(B183,Collections!$B:$D,2,FALSE),VLOOKUP(B183,Collections!$B:$D,3,FALSE)*10.7639),0),"collection not found"))</f>
        <v/>
      </c>
    </row>
    <row r="184">
      <c r="I184" s="10">
        <f>IF(OR(H184="",B184=""),"",IFERROR(ROUND(H184*MAX(VLOOKUP(B184,Collections!$B:$D,2,FALSE),VLOOKUP(B184,Collections!$B:$D,3,FALSE)*10.7639),0),"collection not found"))</f>
        <v/>
      </c>
    </row>
    <row r="185">
      <c r="I185" s="10">
        <f>IF(OR(H185="",B185=""),"",IFERROR(ROUND(H185*MAX(VLOOKUP(B185,Collections!$B:$D,2,FALSE),VLOOKUP(B185,Collections!$B:$D,3,FALSE)*10.7639),0),"collection not found"))</f>
        <v/>
      </c>
    </row>
    <row r="186">
      <c r="I186" s="10">
        <f>IF(OR(H186="",B186=""),"",IFERROR(ROUND(H186*MAX(VLOOKUP(B186,Collections!$B:$D,2,FALSE),VLOOKUP(B186,Collections!$B:$D,3,FALSE)*10.7639),0),"collection not found"))</f>
        <v/>
      </c>
    </row>
    <row r="187">
      <c r="I187" s="10">
        <f>IF(OR(H187="",B187=""),"",IFERROR(ROUND(H187*MAX(VLOOKUP(B187,Collections!$B:$D,2,FALSE),VLOOKUP(B187,Collections!$B:$D,3,FALSE)*10.7639),0),"collection not found"))</f>
        <v/>
      </c>
    </row>
    <row r="188">
      <c r="I188" s="10">
        <f>IF(OR(H188="",B188=""),"",IFERROR(ROUND(H188*MAX(VLOOKUP(B188,Collections!$B:$D,2,FALSE),VLOOKUP(B188,Collections!$B:$D,3,FALSE)*10.7639),0),"collection not found"))</f>
        <v/>
      </c>
    </row>
    <row r="189">
      <c r="I189" s="10">
        <f>IF(OR(H189="",B189=""),"",IFERROR(ROUND(H189*MAX(VLOOKUP(B189,Collections!$B:$D,2,FALSE),VLOOKUP(B189,Collections!$B:$D,3,FALSE)*10.7639),0),"collection not found"))</f>
        <v/>
      </c>
    </row>
    <row r="190">
      <c r="I190" s="10">
        <f>IF(OR(H190="",B190=""),"",IFERROR(ROUND(H190*MAX(VLOOKUP(B190,Collections!$B:$D,2,FALSE),VLOOKUP(B190,Collections!$B:$D,3,FALSE)*10.7639),0),"collection not found"))</f>
        <v/>
      </c>
    </row>
    <row r="191">
      <c r="I191" s="10">
        <f>IF(OR(H191="",B191=""),"",IFERROR(ROUND(H191*MAX(VLOOKUP(B191,Collections!$B:$D,2,FALSE),VLOOKUP(B191,Collections!$B:$D,3,FALSE)*10.7639),0),"collection not found"))</f>
        <v/>
      </c>
    </row>
    <row r="192">
      <c r="I192" s="10">
        <f>IF(OR(H192="",B192=""),"",IFERROR(ROUND(H192*MAX(VLOOKUP(B192,Collections!$B:$D,2,FALSE),VLOOKUP(B192,Collections!$B:$D,3,FALSE)*10.7639),0),"collection not found"))</f>
        <v/>
      </c>
    </row>
    <row r="193">
      <c r="I193" s="10">
        <f>IF(OR(H193="",B193=""),"",IFERROR(ROUND(H193*MAX(VLOOKUP(B193,Collections!$B:$D,2,FALSE),VLOOKUP(B193,Collections!$B:$D,3,FALSE)*10.7639),0),"collection not found"))</f>
        <v/>
      </c>
    </row>
    <row r="194">
      <c r="I194" s="10">
        <f>IF(OR(H194="",B194=""),"",IFERROR(ROUND(H194*MAX(VLOOKUP(B194,Collections!$B:$D,2,FALSE),VLOOKUP(B194,Collections!$B:$D,3,FALSE)*10.7639),0),"collection not found"))</f>
        <v/>
      </c>
    </row>
    <row r="195">
      <c r="I195" s="10">
        <f>IF(OR(H195="",B195=""),"",IFERROR(ROUND(H195*MAX(VLOOKUP(B195,Collections!$B:$D,2,FALSE),VLOOKUP(B195,Collections!$B:$D,3,FALSE)*10.7639),0),"collection not found"))</f>
        <v/>
      </c>
    </row>
    <row r="196">
      <c r="I196" s="10">
        <f>IF(OR(H196="",B196=""),"",IFERROR(ROUND(H196*MAX(VLOOKUP(B196,Collections!$B:$D,2,FALSE),VLOOKUP(B196,Collections!$B:$D,3,FALSE)*10.7639),0),"collection not found"))</f>
        <v/>
      </c>
    </row>
    <row r="197">
      <c r="I197" s="10">
        <f>IF(OR(H197="",B197=""),"",IFERROR(ROUND(H197*MAX(VLOOKUP(B197,Collections!$B:$D,2,FALSE),VLOOKUP(B197,Collections!$B:$D,3,FALSE)*10.7639),0),"collection not found"))</f>
        <v/>
      </c>
    </row>
    <row r="198">
      <c r="I198" s="10">
        <f>IF(OR(H198="",B198=""),"",IFERROR(ROUND(H198*MAX(VLOOKUP(B198,Collections!$B:$D,2,FALSE),VLOOKUP(B198,Collections!$B:$D,3,FALSE)*10.7639),0),"collection not found"))</f>
        <v/>
      </c>
    </row>
    <row r="199">
      <c r="I199" s="10">
        <f>IF(OR(H199="",B199=""),"",IFERROR(ROUND(H199*MAX(VLOOKUP(B199,Collections!$B:$D,2,FALSE),VLOOKUP(B199,Collections!$B:$D,3,FALSE)*10.7639),0),"collection not found"))</f>
        <v/>
      </c>
    </row>
    <row r="200">
      <c r="I200" s="10">
        <f>IF(OR(H200="",B200=""),"",IFERROR(ROUND(H200*MAX(VLOOKUP(B200,Collections!$B:$D,2,FALSE),VLOOKUP(B200,Collections!$B:$D,3,FALSE)*10.7639),0),"collection not found"))</f>
        <v/>
      </c>
    </row>
    <row r="201">
      <c r="I201" s="10">
        <f>IF(OR(H201="",B201=""),"",IFERROR(ROUND(H201*MAX(VLOOKUP(B201,Collections!$B:$D,2,FALSE),VLOOKUP(B201,Collections!$B:$D,3,FALSE)*10.7639),0),"collection not found"))</f>
        <v/>
      </c>
    </row>
    <row r="202">
      <c r="I202" s="10">
        <f>IF(OR(H202="",B202=""),"",IFERROR(ROUND(H202*MAX(VLOOKUP(B202,Collections!$B:$D,2,FALSE),VLOOKUP(B202,Collections!$B:$D,3,FALSE)*10.7639),0),"collection not found"))</f>
        <v/>
      </c>
    </row>
    <row r="203">
      <c r="I203" s="10">
        <f>IF(OR(H203="",B203=""),"",IFERROR(ROUND(H203*MAX(VLOOKUP(B203,Collections!$B:$D,2,FALSE),VLOOKUP(B203,Collections!$B:$D,3,FALSE)*10.7639),0),"collection not found"))</f>
        <v/>
      </c>
    </row>
    <row r="204">
      <c r="I204" s="10">
        <f>IF(OR(H204="",B204=""),"",IFERROR(ROUND(H204*MAX(VLOOKUP(B204,Collections!$B:$D,2,FALSE),VLOOKUP(B204,Collections!$B:$D,3,FALSE)*10.7639),0),"collection not found"))</f>
        <v/>
      </c>
    </row>
    <row r="205">
      <c r="I205" s="10">
        <f>IF(OR(H205="",B205=""),"",IFERROR(ROUND(H205*MAX(VLOOKUP(B205,Collections!$B:$D,2,FALSE),VLOOKUP(B205,Collections!$B:$D,3,FALSE)*10.7639),0),"collection not found"))</f>
        <v/>
      </c>
    </row>
    <row r="206">
      <c r="I206" s="10">
        <f>IF(OR(H206="",B206=""),"",IFERROR(ROUND(H206*MAX(VLOOKUP(B206,Collections!$B:$D,2,FALSE),VLOOKUP(B206,Collections!$B:$D,3,FALSE)*10.7639),0),"collection not found"))</f>
        <v/>
      </c>
    </row>
    <row r="207">
      <c r="I207" s="10">
        <f>IF(OR(H207="",B207=""),"",IFERROR(ROUND(H207*MAX(VLOOKUP(B207,Collections!$B:$D,2,FALSE),VLOOKUP(B207,Collections!$B:$D,3,FALSE)*10.7639),0),"collection not found"))</f>
        <v/>
      </c>
    </row>
    <row r="208">
      <c r="I208" s="10">
        <f>IF(OR(H208="",B208=""),"",IFERROR(ROUND(H208*MAX(VLOOKUP(B208,Collections!$B:$D,2,FALSE),VLOOKUP(B208,Collections!$B:$D,3,FALSE)*10.7639),0),"collection not found"))</f>
        <v/>
      </c>
    </row>
    <row r="209">
      <c r="I209" s="10">
        <f>IF(OR(H209="",B209=""),"",IFERROR(ROUND(H209*MAX(VLOOKUP(B209,Collections!$B:$D,2,FALSE),VLOOKUP(B209,Collections!$B:$D,3,FALSE)*10.7639),0),"collection not found"))</f>
        <v/>
      </c>
    </row>
    <row r="210">
      <c r="I210" s="10">
        <f>IF(OR(H210="",B210=""),"",IFERROR(ROUND(H210*MAX(VLOOKUP(B210,Collections!$B:$D,2,FALSE),VLOOKUP(B210,Collections!$B:$D,3,FALSE)*10.7639),0),"collection not found"))</f>
        <v/>
      </c>
    </row>
    <row r="211">
      <c r="I211" s="10">
        <f>IF(OR(H211="",B211=""),"",IFERROR(ROUND(H211*MAX(VLOOKUP(B211,Collections!$B:$D,2,FALSE),VLOOKUP(B211,Collections!$B:$D,3,FALSE)*10.7639),0),"collection not found"))</f>
        <v/>
      </c>
    </row>
    <row r="212">
      <c r="I212" s="10">
        <f>IF(OR(H212="",B212=""),"",IFERROR(ROUND(H212*MAX(VLOOKUP(B212,Collections!$B:$D,2,FALSE),VLOOKUP(B212,Collections!$B:$D,3,FALSE)*10.7639),0),"collection not found"))</f>
        <v/>
      </c>
    </row>
    <row r="213">
      <c r="I213" s="10">
        <f>IF(OR(H213="",B213=""),"",IFERROR(ROUND(H213*MAX(VLOOKUP(B213,Collections!$B:$D,2,FALSE),VLOOKUP(B213,Collections!$B:$D,3,FALSE)*10.7639),0),"collection not found"))</f>
        <v/>
      </c>
    </row>
    <row r="214">
      <c r="I214" s="10">
        <f>IF(OR(H214="",B214=""),"",IFERROR(ROUND(H214*MAX(VLOOKUP(B214,Collections!$B:$D,2,FALSE),VLOOKUP(B214,Collections!$B:$D,3,FALSE)*10.7639),0),"collection not found"))</f>
        <v/>
      </c>
    </row>
    <row r="215">
      <c r="I215" s="10">
        <f>IF(OR(H215="",B215=""),"",IFERROR(ROUND(H215*MAX(VLOOKUP(B215,Collections!$B:$D,2,FALSE),VLOOKUP(B215,Collections!$B:$D,3,FALSE)*10.7639),0),"collection not found"))</f>
        <v/>
      </c>
    </row>
    <row r="216">
      <c r="I216" s="10">
        <f>IF(OR(H216="",B216=""),"",IFERROR(ROUND(H216*MAX(VLOOKUP(B216,Collections!$B:$D,2,FALSE),VLOOKUP(B216,Collections!$B:$D,3,FALSE)*10.7639),0),"collection not found"))</f>
        <v/>
      </c>
    </row>
    <row r="217">
      <c r="I217" s="10">
        <f>IF(OR(H217="",B217=""),"",IFERROR(ROUND(H217*MAX(VLOOKUP(B217,Collections!$B:$D,2,FALSE),VLOOKUP(B217,Collections!$B:$D,3,FALSE)*10.7639),0),"collection not found"))</f>
        <v/>
      </c>
    </row>
    <row r="218">
      <c r="I218" s="10">
        <f>IF(OR(H218="",B218=""),"",IFERROR(ROUND(H218*MAX(VLOOKUP(B218,Collections!$B:$D,2,FALSE),VLOOKUP(B218,Collections!$B:$D,3,FALSE)*10.7639),0),"collection not found"))</f>
        <v/>
      </c>
    </row>
    <row r="219">
      <c r="I219" s="10">
        <f>IF(OR(H219="",B219=""),"",IFERROR(ROUND(H219*MAX(VLOOKUP(B219,Collections!$B:$D,2,FALSE),VLOOKUP(B219,Collections!$B:$D,3,FALSE)*10.7639),0),"collection not found"))</f>
        <v/>
      </c>
    </row>
    <row r="220">
      <c r="I220" s="10">
        <f>IF(OR(H220="",B220=""),"",IFERROR(ROUND(H220*MAX(VLOOKUP(B220,Collections!$B:$D,2,FALSE),VLOOKUP(B220,Collections!$B:$D,3,FALSE)*10.7639),0),"collection not found"))</f>
        <v/>
      </c>
    </row>
    <row r="221">
      <c r="I221" s="10">
        <f>IF(OR(H221="",B221=""),"",IFERROR(ROUND(H221*MAX(VLOOKUP(B221,Collections!$B:$D,2,FALSE),VLOOKUP(B221,Collections!$B:$D,3,FALSE)*10.7639),0),"collection not found"))</f>
        <v/>
      </c>
    </row>
    <row r="222">
      <c r="I222" s="10">
        <f>IF(OR(H222="",B222=""),"",IFERROR(ROUND(H222*MAX(VLOOKUP(B222,Collections!$B:$D,2,FALSE),VLOOKUP(B222,Collections!$B:$D,3,FALSE)*10.7639),0),"collection not found"))</f>
        <v/>
      </c>
    </row>
    <row r="223">
      <c r="I223" s="10">
        <f>IF(OR(H223="",B223=""),"",IFERROR(ROUND(H223*MAX(VLOOKUP(B223,Collections!$B:$D,2,FALSE),VLOOKUP(B223,Collections!$B:$D,3,FALSE)*10.7639),0),"collection not found"))</f>
        <v/>
      </c>
    </row>
    <row r="224">
      <c r="I224" s="10">
        <f>IF(OR(H224="",B224=""),"",IFERROR(ROUND(H224*MAX(VLOOKUP(B224,Collections!$B:$D,2,FALSE),VLOOKUP(B224,Collections!$B:$D,3,FALSE)*10.7639),0),"collection not found"))</f>
        <v/>
      </c>
    </row>
    <row r="225">
      <c r="I225" s="10">
        <f>IF(OR(H225="",B225=""),"",IFERROR(ROUND(H225*MAX(VLOOKUP(B225,Collections!$B:$D,2,FALSE),VLOOKUP(B225,Collections!$B:$D,3,FALSE)*10.7639),0),"collection not found"))</f>
        <v/>
      </c>
    </row>
    <row r="226">
      <c r="I226" s="10">
        <f>IF(OR(H226="",B226=""),"",IFERROR(ROUND(H226*MAX(VLOOKUP(B226,Collections!$B:$D,2,FALSE),VLOOKUP(B226,Collections!$B:$D,3,FALSE)*10.7639),0),"collection not found"))</f>
        <v/>
      </c>
    </row>
    <row r="227">
      <c r="I227" s="10">
        <f>IF(OR(H227="",B227=""),"",IFERROR(ROUND(H227*MAX(VLOOKUP(B227,Collections!$B:$D,2,FALSE),VLOOKUP(B227,Collections!$B:$D,3,FALSE)*10.7639),0),"collection not found"))</f>
        <v/>
      </c>
    </row>
    <row r="228">
      <c r="I228" s="10">
        <f>IF(OR(H228="",B228=""),"",IFERROR(ROUND(H228*MAX(VLOOKUP(B228,Collections!$B:$D,2,FALSE),VLOOKUP(B228,Collections!$B:$D,3,FALSE)*10.7639),0),"collection not found"))</f>
        <v/>
      </c>
    </row>
    <row r="229">
      <c r="I229" s="10">
        <f>IF(OR(H229="",B229=""),"",IFERROR(ROUND(H229*MAX(VLOOKUP(B229,Collections!$B:$D,2,FALSE),VLOOKUP(B229,Collections!$B:$D,3,FALSE)*10.7639),0),"collection not found"))</f>
        <v/>
      </c>
    </row>
    <row r="230">
      <c r="I230" s="10">
        <f>IF(OR(H230="",B230=""),"",IFERROR(ROUND(H230*MAX(VLOOKUP(B230,Collections!$B:$D,2,FALSE),VLOOKUP(B230,Collections!$B:$D,3,FALSE)*10.7639),0),"collection not found"))</f>
        <v/>
      </c>
    </row>
    <row r="231">
      <c r="I231" s="10">
        <f>IF(OR(H231="",B231=""),"",IFERROR(ROUND(H231*MAX(VLOOKUP(B231,Collections!$B:$D,2,FALSE),VLOOKUP(B231,Collections!$B:$D,3,FALSE)*10.7639),0),"collection not found"))</f>
        <v/>
      </c>
    </row>
    <row r="232">
      <c r="I232" s="10">
        <f>IF(OR(H232="",B232=""),"",IFERROR(ROUND(H232*MAX(VLOOKUP(B232,Collections!$B:$D,2,FALSE),VLOOKUP(B232,Collections!$B:$D,3,FALSE)*10.7639),0),"collection not found"))</f>
        <v/>
      </c>
    </row>
    <row r="233">
      <c r="I233" s="10">
        <f>IF(OR(H233="",B233=""),"",IFERROR(ROUND(H233*MAX(VLOOKUP(B233,Collections!$B:$D,2,FALSE),VLOOKUP(B233,Collections!$B:$D,3,FALSE)*10.7639),0),"collection not found"))</f>
        <v/>
      </c>
    </row>
    <row r="234">
      <c r="I234" s="10">
        <f>IF(OR(H234="",B234=""),"",IFERROR(ROUND(H234*MAX(VLOOKUP(B234,Collections!$B:$D,2,FALSE),VLOOKUP(B234,Collections!$B:$D,3,FALSE)*10.7639),0),"collection not found"))</f>
        <v/>
      </c>
    </row>
    <row r="235">
      <c r="I235" s="10">
        <f>IF(OR(H235="",B235=""),"",IFERROR(ROUND(H235*MAX(VLOOKUP(B235,Collections!$B:$D,2,FALSE),VLOOKUP(B235,Collections!$B:$D,3,FALSE)*10.7639),0),"collection not found"))</f>
        <v/>
      </c>
    </row>
    <row r="236">
      <c r="I236" s="10">
        <f>IF(OR(H236="",B236=""),"",IFERROR(ROUND(H236*MAX(VLOOKUP(B236,Collections!$B:$D,2,FALSE),VLOOKUP(B236,Collections!$B:$D,3,FALSE)*10.7639),0),"collection not found"))</f>
        <v/>
      </c>
    </row>
    <row r="237">
      <c r="I237" s="10">
        <f>IF(OR(H237="",B237=""),"",IFERROR(ROUND(H237*MAX(VLOOKUP(B237,Collections!$B:$D,2,FALSE),VLOOKUP(B237,Collections!$B:$D,3,FALSE)*10.7639),0),"collection not found"))</f>
        <v/>
      </c>
    </row>
    <row r="238">
      <c r="I238" s="10">
        <f>IF(OR(H238="",B238=""),"",IFERROR(ROUND(H238*MAX(VLOOKUP(B238,Collections!$B:$D,2,FALSE),VLOOKUP(B238,Collections!$B:$D,3,FALSE)*10.7639),0),"collection not found"))</f>
        <v/>
      </c>
    </row>
    <row r="239">
      <c r="I239" s="10">
        <f>IF(OR(H239="",B239=""),"",IFERROR(ROUND(H239*MAX(VLOOKUP(B239,Collections!$B:$D,2,FALSE),VLOOKUP(B239,Collections!$B:$D,3,FALSE)*10.7639),0),"collection not found"))</f>
        <v/>
      </c>
    </row>
    <row r="240">
      <c r="I240" s="10">
        <f>IF(OR(H240="",B240=""),"",IFERROR(ROUND(H240*MAX(VLOOKUP(B240,Collections!$B:$D,2,FALSE),VLOOKUP(B240,Collections!$B:$D,3,FALSE)*10.7639),0),"collection not found"))</f>
        <v/>
      </c>
    </row>
    <row r="241">
      <c r="I241" s="10">
        <f>IF(OR(H241="",B241=""),"",IFERROR(ROUND(H241*MAX(VLOOKUP(B241,Collections!$B:$D,2,FALSE),VLOOKUP(B241,Collections!$B:$D,3,FALSE)*10.7639),0),"collection not found"))</f>
        <v/>
      </c>
    </row>
    <row r="242">
      <c r="I242" s="10">
        <f>IF(OR(H242="",B242=""),"",IFERROR(ROUND(H242*MAX(VLOOKUP(B242,Collections!$B:$D,2,FALSE),VLOOKUP(B242,Collections!$B:$D,3,FALSE)*10.7639),0),"collection not found"))</f>
        <v/>
      </c>
    </row>
    <row r="243">
      <c r="I243" s="10">
        <f>IF(OR(H243="",B243=""),"",IFERROR(ROUND(H243*MAX(VLOOKUP(B243,Collections!$B:$D,2,FALSE),VLOOKUP(B243,Collections!$B:$D,3,FALSE)*10.7639),0),"collection not found"))</f>
        <v/>
      </c>
    </row>
    <row r="244">
      <c r="I244" s="10">
        <f>IF(OR(H244="",B244=""),"",IFERROR(ROUND(H244*MAX(VLOOKUP(B244,Collections!$B:$D,2,FALSE),VLOOKUP(B244,Collections!$B:$D,3,FALSE)*10.7639),0),"collection not found"))</f>
        <v/>
      </c>
    </row>
    <row r="245">
      <c r="I245" s="10">
        <f>IF(OR(H245="",B245=""),"",IFERROR(ROUND(H245*MAX(VLOOKUP(B245,Collections!$B:$D,2,FALSE),VLOOKUP(B245,Collections!$B:$D,3,FALSE)*10.7639),0),"collection not found"))</f>
        <v/>
      </c>
    </row>
    <row r="246">
      <c r="I246" s="10">
        <f>IF(OR(H246="",B246=""),"",IFERROR(ROUND(H246*MAX(VLOOKUP(B246,Collections!$B:$D,2,FALSE),VLOOKUP(B246,Collections!$B:$D,3,FALSE)*10.7639),0),"collection not found"))</f>
        <v/>
      </c>
    </row>
    <row r="247">
      <c r="I247" s="10">
        <f>IF(OR(H247="",B247=""),"",IFERROR(ROUND(H247*MAX(VLOOKUP(B247,Collections!$B:$D,2,FALSE),VLOOKUP(B247,Collections!$B:$D,3,FALSE)*10.7639),0),"collection not found"))</f>
        <v/>
      </c>
    </row>
    <row r="248">
      <c r="I248" s="10">
        <f>IF(OR(H248="",B248=""),"",IFERROR(ROUND(H248*MAX(VLOOKUP(B248,Collections!$B:$D,2,FALSE),VLOOKUP(B248,Collections!$B:$D,3,FALSE)*10.7639),0),"collection not found"))</f>
        <v/>
      </c>
    </row>
    <row r="249">
      <c r="I249" s="10">
        <f>IF(OR(H249="",B249=""),"",IFERROR(ROUND(H249*MAX(VLOOKUP(B249,Collections!$B:$D,2,FALSE),VLOOKUP(B249,Collections!$B:$D,3,FALSE)*10.7639),0),"collection not found"))</f>
        <v/>
      </c>
    </row>
    <row r="250">
      <c r="I250" s="10">
        <f>IF(OR(H250="",B250=""),"",IFERROR(ROUND(H250*MAX(VLOOKUP(B250,Collections!$B:$D,2,FALSE),VLOOKUP(B250,Collections!$B:$D,3,FALSE)*10.7639),0),"collection not found"))</f>
        <v/>
      </c>
    </row>
    <row r="251">
      <c r="I251" s="10">
        <f>IF(OR(H251="",B251=""),"",IFERROR(ROUND(H251*MAX(VLOOKUP(B251,Collections!$B:$D,2,FALSE),VLOOKUP(B251,Collections!$B:$D,3,FALSE)*10.7639),0),"collection not found"))</f>
        <v/>
      </c>
    </row>
    <row r="252">
      <c r="I252" s="10">
        <f>IF(OR(H252="",B252=""),"",IFERROR(ROUND(H252*MAX(VLOOKUP(B252,Collections!$B:$D,2,FALSE),VLOOKUP(B252,Collections!$B:$D,3,FALSE)*10.7639),0),"collection not found"))</f>
        <v/>
      </c>
    </row>
    <row r="253">
      <c r="I253" s="10">
        <f>IF(OR(H253="",B253=""),"",IFERROR(ROUND(H253*MAX(VLOOKUP(B253,Collections!$B:$D,2,FALSE),VLOOKUP(B253,Collections!$B:$D,3,FALSE)*10.7639),0),"collection not found"))</f>
        <v/>
      </c>
    </row>
    <row r="254">
      <c r="I254" s="10">
        <f>IF(OR(H254="",B254=""),"",IFERROR(ROUND(H254*MAX(VLOOKUP(B254,Collections!$B:$D,2,FALSE),VLOOKUP(B254,Collections!$B:$D,3,FALSE)*10.7639),0),"collection not found"))</f>
        <v/>
      </c>
    </row>
    <row r="255">
      <c r="I255" s="10">
        <f>IF(OR(H255="",B255=""),"",IFERROR(ROUND(H255*MAX(VLOOKUP(B255,Collections!$B:$D,2,FALSE),VLOOKUP(B255,Collections!$B:$D,3,FALSE)*10.7639),0),"collection not found"))</f>
        <v/>
      </c>
    </row>
    <row r="256">
      <c r="I256" s="10">
        <f>IF(OR(H256="",B256=""),"",IFERROR(ROUND(H256*MAX(VLOOKUP(B256,Collections!$B:$D,2,FALSE),VLOOKUP(B256,Collections!$B:$D,3,FALSE)*10.7639),0),"collection not found"))</f>
        <v/>
      </c>
    </row>
    <row r="257">
      <c r="I257" s="10">
        <f>IF(OR(H257="",B257=""),"",IFERROR(ROUND(H257*MAX(VLOOKUP(B257,Collections!$B:$D,2,FALSE),VLOOKUP(B257,Collections!$B:$D,3,FALSE)*10.7639),0),"collection not found"))</f>
        <v/>
      </c>
    </row>
    <row r="258">
      <c r="I258" s="10">
        <f>IF(OR(H258="",B258=""),"",IFERROR(ROUND(H258*MAX(VLOOKUP(B258,Collections!$B:$D,2,FALSE),VLOOKUP(B258,Collections!$B:$D,3,FALSE)*10.7639),0),"collection not found"))</f>
        <v/>
      </c>
    </row>
    <row r="259">
      <c r="I259" s="10">
        <f>IF(OR(H259="",B259=""),"",IFERROR(ROUND(H259*MAX(VLOOKUP(B259,Collections!$B:$D,2,FALSE),VLOOKUP(B259,Collections!$B:$D,3,FALSE)*10.7639),0),"collection not found"))</f>
        <v/>
      </c>
    </row>
    <row r="260">
      <c r="I260" s="10">
        <f>IF(OR(H260="",B260=""),"",IFERROR(ROUND(H260*MAX(VLOOKUP(B260,Collections!$B:$D,2,FALSE),VLOOKUP(B260,Collections!$B:$D,3,FALSE)*10.7639),0),"collection not found"))</f>
        <v/>
      </c>
    </row>
    <row r="261">
      <c r="I261" s="10">
        <f>IF(OR(H261="",B261=""),"",IFERROR(ROUND(H261*MAX(VLOOKUP(B261,Collections!$B:$D,2,FALSE),VLOOKUP(B261,Collections!$B:$D,3,FALSE)*10.7639),0),"collection not found"))</f>
        <v/>
      </c>
    </row>
    <row r="262">
      <c r="I262" s="10">
        <f>IF(OR(H262="",B262=""),"",IFERROR(ROUND(H262*MAX(VLOOKUP(B262,Collections!$B:$D,2,FALSE),VLOOKUP(B262,Collections!$B:$D,3,FALSE)*10.7639),0),"collection not found"))</f>
        <v/>
      </c>
    </row>
    <row r="263">
      <c r="I263" s="10">
        <f>IF(OR(H263="",B263=""),"",IFERROR(ROUND(H263*MAX(VLOOKUP(B263,Collections!$B:$D,2,FALSE),VLOOKUP(B263,Collections!$B:$D,3,FALSE)*10.7639),0),"collection not found"))</f>
        <v/>
      </c>
    </row>
    <row r="264">
      <c r="I264" s="10">
        <f>IF(OR(H264="",B264=""),"",IFERROR(ROUND(H264*MAX(VLOOKUP(B264,Collections!$B:$D,2,FALSE),VLOOKUP(B264,Collections!$B:$D,3,FALSE)*10.7639),0),"collection not found"))</f>
        <v/>
      </c>
    </row>
    <row r="265">
      <c r="I265" s="10">
        <f>IF(OR(H265="",B265=""),"",IFERROR(ROUND(H265*MAX(VLOOKUP(B265,Collections!$B:$D,2,FALSE),VLOOKUP(B265,Collections!$B:$D,3,FALSE)*10.7639),0),"collection not found"))</f>
        <v/>
      </c>
    </row>
    <row r="266">
      <c r="I266" s="10">
        <f>IF(OR(H266="",B266=""),"",IFERROR(ROUND(H266*MAX(VLOOKUP(B266,Collections!$B:$D,2,FALSE),VLOOKUP(B266,Collections!$B:$D,3,FALSE)*10.7639),0),"collection not found"))</f>
        <v/>
      </c>
    </row>
    <row r="267">
      <c r="I267" s="10">
        <f>IF(OR(H267="",B267=""),"",IFERROR(ROUND(H267*MAX(VLOOKUP(B267,Collections!$B:$D,2,FALSE),VLOOKUP(B267,Collections!$B:$D,3,FALSE)*10.7639),0),"collection not found"))</f>
        <v/>
      </c>
    </row>
    <row r="268">
      <c r="I268" s="10">
        <f>IF(OR(H268="",B268=""),"",IFERROR(ROUND(H268*MAX(VLOOKUP(B268,Collections!$B:$D,2,FALSE),VLOOKUP(B268,Collections!$B:$D,3,FALSE)*10.7639),0),"collection not found"))</f>
        <v/>
      </c>
    </row>
    <row r="269">
      <c r="I269" s="10">
        <f>IF(OR(H269="",B269=""),"",IFERROR(ROUND(H269*MAX(VLOOKUP(B269,Collections!$B:$D,2,FALSE),VLOOKUP(B269,Collections!$B:$D,3,FALSE)*10.7639),0),"collection not found"))</f>
        <v/>
      </c>
    </row>
    <row r="270">
      <c r="I270" s="10">
        <f>IF(OR(H270="",B270=""),"",IFERROR(ROUND(H270*MAX(VLOOKUP(B270,Collections!$B:$D,2,FALSE),VLOOKUP(B270,Collections!$B:$D,3,FALSE)*10.7639),0),"collection not found"))</f>
        <v/>
      </c>
    </row>
    <row r="271">
      <c r="I271" s="10">
        <f>IF(OR(H271="",B271=""),"",IFERROR(ROUND(H271*MAX(VLOOKUP(B271,Collections!$B:$D,2,FALSE),VLOOKUP(B271,Collections!$B:$D,3,FALSE)*10.7639),0),"collection not found"))</f>
        <v/>
      </c>
    </row>
    <row r="272">
      <c r="I272" s="10">
        <f>IF(OR(H272="",B272=""),"",IFERROR(ROUND(H272*MAX(VLOOKUP(B272,Collections!$B:$D,2,FALSE),VLOOKUP(B272,Collections!$B:$D,3,FALSE)*10.7639),0),"collection not found"))</f>
        <v/>
      </c>
    </row>
    <row r="273">
      <c r="I273" s="10">
        <f>IF(OR(H273="",B273=""),"",IFERROR(ROUND(H273*MAX(VLOOKUP(B273,Collections!$B:$D,2,FALSE),VLOOKUP(B273,Collections!$B:$D,3,FALSE)*10.7639),0),"collection not found"))</f>
        <v/>
      </c>
    </row>
    <row r="274">
      <c r="I274" s="10">
        <f>IF(OR(H274="",B274=""),"",IFERROR(ROUND(H274*MAX(VLOOKUP(B274,Collections!$B:$D,2,FALSE),VLOOKUP(B274,Collections!$B:$D,3,FALSE)*10.7639),0),"collection not found"))</f>
        <v/>
      </c>
    </row>
    <row r="275">
      <c r="I275" s="10">
        <f>IF(OR(H275="",B275=""),"",IFERROR(ROUND(H275*MAX(VLOOKUP(B275,Collections!$B:$D,2,FALSE),VLOOKUP(B275,Collections!$B:$D,3,FALSE)*10.7639),0),"collection not found"))</f>
        <v/>
      </c>
    </row>
    <row r="276">
      <c r="I276" s="10">
        <f>IF(OR(H276="",B276=""),"",IFERROR(ROUND(H276*MAX(VLOOKUP(B276,Collections!$B:$D,2,FALSE),VLOOKUP(B276,Collections!$B:$D,3,FALSE)*10.7639),0),"collection not found"))</f>
        <v/>
      </c>
    </row>
    <row r="277">
      <c r="I277" s="10">
        <f>IF(OR(H277="",B277=""),"",IFERROR(ROUND(H277*MAX(VLOOKUP(B277,Collections!$B:$D,2,FALSE),VLOOKUP(B277,Collections!$B:$D,3,FALSE)*10.7639),0),"collection not found"))</f>
        <v/>
      </c>
    </row>
    <row r="278">
      <c r="I278" s="10">
        <f>IF(OR(H278="",B278=""),"",IFERROR(ROUND(H278*MAX(VLOOKUP(B278,Collections!$B:$D,2,FALSE),VLOOKUP(B278,Collections!$B:$D,3,FALSE)*10.7639),0),"collection not found"))</f>
        <v/>
      </c>
    </row>
    <row r="279">
      <c r="I279" s="10">
        <f>IF(OR(H279="",B279=""),"",IFERROR(ROUND(H279*MAX(VLOOKUP(B279,Collections!$B:$D,2,FALSE),VLOOKUP(B279,Collections!$B:$D,3,FALSE)*10.7639),0),"collection not found"))</f>
        <v/>
      </c>
    </row>
    <row r="280">
      <c r="I280" s="10">
        <f>IF(OR(H280="",B280=""),"",IFERROR(ROUND(H280*MAX(VLOOKUP(B280,Collections!$B:$D,2,FALSE),VLOOKUP(B280,Collections!$B:$D,3,FALSE)*10.7639),0),"collection not found"))</f>
        <v/>
      </c>
    </row>
    <row r="281">
      <c r="I281" s="10">
        <f>IF(OR(H281="",B281=""),"",IFERROR(ROUND(H281*MAX(VLOOKUP(B281,Collections!$B:$D,2,FALSE),VLOOKUP(B281,Collections!$B:$D,3,FALSE)*10.7639),0),"collection not found"))</f>
        <v/>
      </c>
    </row>
    <row r="282">
      <c r="I282" s="10">
        <f>IF(OR(H282="",B282=""),"",IFERROR(ROUND(H282*MAX(VLOOKUP(B282,Collections!$B:$D,2,FALSE),VLOOKUP(B282,Collections!$B:$D,3,FALSE)*10.7639),0),"collection not found"))</f>
        <v/>
      </c>
    </row>
    <row r="283">
      <c r="I283" s="10">
        <f>IF(OR(H283="",B283=""),"",IFERROR(ROUND(H283*MAX(VLOOKUP(B283,Collections!$B:$D,2,FALSE),VLOOKUP(B283,Collections!$B:$D,3,FALSE)*10.7639),0),"collection not found"))</f>
        <v/>
      </c>
    </row>
    <row r="284">
      <c r="I284" s="10">
        <f>IF(OR(H284="",B284=""),"",IFERROR(ROUND(H284*MAX(VLOOKUP(B284,Collections!$B:$D,2,FALSE),VLOOKUP(B284,Collections!$B:$D,3,FALSE)*10.7639),0),"collection not found"))</f>
        <v/>
      </c>
    </row>
    <row r="285">
      <c r="I285" s="10">
        <f>IF(OR(H285="",B285=""),"",IFERROR(ROUND(H285*MAX(VLOOKUP(B285,Collections!$B:$D,2,FALSE),VLOOKUP(B285,Collections!$B:$D,3,FALSE)*10.7639),0),"collection not found"))</f>
        <v/>
      </c>
    </row>
    <row r="286">
      <c r="I286" s="10">
        <f>IF(OR(H286="",B286=""),"",IFERROR(ROUND(H286*MAX(VLOOKUP(B286,Collections!$B:$D,2,FALSE),VLOOKUP(B286,Collections!$B:$D,3,FALSE)*10.7639),0),"collection not found"))</f>
        <v/>
      </c>
    </row>
    <row r="287">
      <c r="I287" s="10">
        <f>IF(OR(H287="",B287=""),"",IFERROR(ROUND(H287*MAX(VLOOKUP(B287,Collections!$B:$D,2,FALSE),VLOOKUP(B287,Collections!$B:$D,3,FALSE)*10.7639),0),"collection not found"))</f>
        <v/>
      </c>
    </row>
    <row r="288">
      <c r="I288" s="10">
        <f>IF(OR(H288="",B288=""),"",IFERROR(ROUND(H288*MAX(VLOOKUP(B288,Collections!$B:$D,2,FALSE),VLOOKUP(B288,Collections!$B:$D,3,FALSE)*10.7639),0),"collection not found"))</f>
        <v/>
      </c>
    </row>
    <row r="289">
      <c r="I289" s="10">
        <f>IF(OR(H289="",B289=""),"",IFERROR(ROUND(H289*MAX(VLOOKUP(B289,Collections!$B:$D,2,FALSE),VLOOKUP(B289,Collections!$B:$D,3,FALSE)*10.7639),0),"collection not found"))</f>
        <v/>
      </c>
    </row>
    <row r="290">
      <c r="I290" s="10">
        <f>IF(OR(H290="",B290=""),"",IFERROR(ROUND(H290*MAX(VLOOKUP(B290,Collections!$B:$D,2,FALSE),VLOOKUP(B290,Collections!$B:$D,3,FALSE)*10.7639),0),"collection not found"))</f>
        <v/>
      </c>
    </row>
    <row r="291">
      <c r="I291" s="10">
        <f>IF(OR(H291="",B291=""),"",IFERROR(ROUND(H291*MAX(VLOOKUP(B291,Collections!$B:$D,2,FALSE),VLOOKUP(B291,Collections!$B:$D,3,FALSE)*10.7639),0),"collection not found"))</f>
        <v/>
      </c>
    </row>
    <row r="292">
      <c r="I292" s="10">
        <f>IF(OR(H292="",B292=""),"",IFERROR(ROUND(H292*MAX(VLOOKUP(B292,Collections!$B:$D,2,FALSE),VLOOKUP(B292,Collections!$B:$D,3,FALSE)*10.7639),0),"collection not found"))</f>
        <v/>
      </c>
    </row>
    <row r="293">
      <c r="I293" s="10">
        <f>IF(OR(H293="",B293=""),"",IFERROR(ROUND(H293*MAX(VLOOKUP(B293,Collections!$B:$D,2,FALSE),VLOOKUP(B293,Collections!$B:$D,3,FALSE)*10.7639),0),"collection not found"))</f>
        <v/>
      </c>
    </row>
    <row r="294">
      <c r="I294" s="10">
        <f>IF(OR(H294="",B294=""),"",IFERROR(ROUND(H294*MAX(VLOOKUP(B294,Collections!$B:$D,2,FALSE),VLOOKUP(B294,Collections!$B:$D,3,FALSE)*10.7639),0),"collection not found"))</f>
        <v/>
      </c>
    </row>
    <row r="295">
      <c r="I295" s="10">
        <f>IF(OR(H295="",B295=""),"",IFERROR(ROUND(H295*MAX(VLOOKUP(B295,Collections!$B:$D,2,FALSE),VLOOKUP(B295,Collections!$B:$D,3,FALSE)*10.7639),0),"collection not found"))</f>
        <v/>
      </c>
    </row>
    <row r="296">
      <c r="I296" s="10">
        <f>IF(OR(H296="",B296=""),"",IFERROR(ROUND(H296*MAX(VLOOKUP(B296,Collections!$B:$D,2,FALSE),VLOOKUP(B296,Collections!$B:$D,3,FALSE)*10.7639),0),"collection not found"))</f>
        <v/>
      </c>
    </row>
    <row r="297">
      <c r="I297" s="10">
        <f>IF(OR(H297="",B297=""),"",IFERROR(ROUND(H297*MAX(VLOOKUP(B297,Collections!$B:$D,2,FALSE),VLOOKUP(B297,Collections!$B:$D,3,FALSE)*10.7639),0),"collection not found"))</f>
        <v/>
      </c>
    </row>
    <row r="298">
      <c r="I298" s="10">
        <f>IF(OR(H298="",B298=""),"",IFERROR(ROUND(H298*MAX(VLOOKUP(B298,Collections!$B:$D,2,FALSE),VLOOKUP(B298,Collections!$B:$D,3,FALSE)*10.7639),0),"collection not found"))</f>
        <v/>
      </c>
    </row>
    <row r="299">
      <c r="I299" s="10">
        <f>IF(OR(H299="",B299=""),"",IFERROR(ROUND(H299*MAX(VLOOKUP(B299,Collections!$B:$D,2,FALSE),VLOOKUP(B299,Collections!$B:$D,3,FALSE)*10.7639),0),"collection not found"))</f>
        <v/>
      </c>
    </row>
    <row r="300">
      <c r="I300" s="10">
        <f>IF(OR(H300="",B300=""),"",IFERROR(ROUND(H300*MAX(VLOOKUP(B300,Collections!$B:$D,2,FALSE),VLOOKUP(B300,Collections!$B:$D,3,FALSE)*10.7639),0),"collection not found"))</f>
        <v/>
      </c>
    </row>
    <row r="301">
      <c r="I301" s="10">
        <f>IF(OR(H301="",B301=""),"",IFERROR(ROUND(H301*MAX(VLOOKUP(B301,Collections!$B:$D,2,FALSE),VLOOKUP(B301,Collections!$B:$D,3,FALSE)*10.7639),0),"collection not found"))</f>
        <v/>
      </c>
    </row>
    <row r="302">
      <c r="I302" s="10">
        <f>IF(OR(H302="",B302=""),"",IFERROR(ROUND(H302*MAX(VLOOKUP(B302,Collections!$B:$D,2,FALSE),VLOOKUP(B302,Collections!$B:$D,3,FALSE)*10.7639),0),"collection not found"))</f>
        <v/>
      </c>
    </row>
    <row r="303">
      <c r="I303" s="10">
        <f>IF(OR(H303="",B303=""),"",IFERROR(ROUND(H303*MAX(VLOOKUP(B303,Collections!$B:$D,2,FALSE),VLOOKUP(B303,Collections!$B:$D,3,FALSE)*10.7639),0),"collection not found"))</f>
        <v/>
      </c>
    </row>
    <row r="304">
      <c r="I304" s="10">
        <f>IF(OR(H304="",B304=""),"",IFERROR(ROUND(H304*MAX(VLOOKUP(B304,Collections!$B:$D,2,FALSE),VLOOKUP(B304,Collections!$B:$D,3,FALSE)*10.7639),0),"collection not found"))</f>
        <v/>
      </c>
    </row>
    <row r="305">
      <c r="I305" s="10">
        <f>IF(OR(H305="",B305=""),"",IFERROR(ROUND(H305*MAX(VLOOKUP(B305,Collections!$B:$D,2,FALSE),VLOOKUP(B305,Collections!$B:$D,3,FALSE)*10.7639),0),"collection not found"))</f>
        <v/>
      </c>
    </row>
    <row r="306">
      <c r="I306" s="10">
        <f>IF(OR(H306="",B306=""),"",IFERROR(ROUND(H306*MAX(VLOOKUP(B306,Collections!$B:$D,2,FALSE),VLOOKUP(B306,Collections!$B:$D,3,FALSE)*10.7639),0),"collection not found"))</f>
        <v/>
      </c>
    </row>
    <row r="307">
      <c r="I307" s="10">
        <f>IF(OR(H307="",B307=""),"",IFERROR(ROUND(H307*MAX(VLOOKUP(B307,Collections!$B:$D,2,FALSE),VLOOKUP(B307,Collections!$B:$D,3,FALSE)*10.7639),0),"collection not found"))</f>
        <v/>
      </c>
    </row>
    <row r="308">
      <c r="I308" s="10">
        <f>IF(OR(H308="",B308=""),"",IFERROR(ROUND(H308*MAX(VLOOKUP(B308,Collections!$B:$D,2,FALSE),VLOOKUP(B308,Collections!$B:$D,3,FALSE)*10.7639),0),"collection not found"))</f>
        <v/>
      </c>
    </row>
    <row r="309">
      <c r="I309" s="10">
        <f>IF(OR(H309="",B309=""),"",IFERROR(ROUND(H309*MAX(VLOOKUP(B309,Collections!$B:$D,2,FALSE),VLOOKUP(B309,Collections!$B:$D,3,FALSE)*10.7639),0),"collection not found"))</f>
        <v/>
      </c>
    </row>
    <row r="310">
      <c r="I310" s="10">
        <f>IF(OR(H310="",B310=""),"",IFERROR(ROUND(H310*MAX(VLOOKUP(B310,Collections!$B:$D,2,FALSE),VLOOKUP(B310,Collections!$B:$D,3,FALSE)*10.7639),0),"collection not found"))</f>
        <v/>
      </c>
    </row>
    <row r="311">
      <c r="I311" s="10">
        <f>IF(OR(H311="",B311=""),"",IFERROR(ROUND(H311*MAX(VLOOKUP(B311,Collections!$B:$D,2,FALSE),VLOOKUP(B311,Collections!$B:$D,3,FALSE)*10.7639),0),"collection not found"))</f>
        <v/>
      </c>
    </row>
    <row r="312">
      <c r="I312" s="10">
        <f>IF(OR(H312="",B312=""),"",IFERROR(ROUND(H312*MAX(VLOOKUP(B312,Collections!$B:$D,2,FALSE),VLOOKUP(B312,Collections!$B:$D,3,FALSE)*10.7639),0),"collection not found"))</f>
        <v/>
      </c>
    </row>
    <row r="313">
      <c r="I313" s="10">
        <f>IF(OR(H313="",B313=""),"",IFERROR(ROUND(H313*MAX(VLOOKUP(B313,Collections!$B:$D,2,FALSE),VLOOKUP(B313,Collections!$B:$D,3,FALSE)*10.7639),0),"collection not found"))</f>
        <v/>
      </c>
    </row>
    <row r="314">
      <c r="I314" s="10">
        <f>IF(OR(H314="",B314=""),"",IFERROR(ROUND(H314*MAX(VLOOKUP(B314,Collections!$B:$D,2,FALSE),VLOOKUP(B314,Collections!$B:$D,3,FALSE)*10.7639),0),"collection not found"))</f>
        <v/>
      </c>
    </row>
    <row r="315">
      <c r="I315" s="10">
        <f>IF(OR(H315="",B315=""),"",IFERROR(ROUND(H315*MAX(VLOOKUP(B315,Collections!$B:$D,2,FALSE),VLOOKUP(B315,Collections!$B:$D,3,FALSE)*10.7639),0),"collection not found"))</f>
        <v/>
      </c>
    </row>
    <row r="316">
      <c r="I316" s="10">
        <f>IF(OR(H316="",B316=""),"",IFERROR(ROUND(H316*MAX(VLOOKUP(B316,Collections!$B:$D,2,FALSE),VLOOKUP(B316,Collections!$B:$D,3,FALSE)*10.7639),0),"collection not found"))</f>
        <v/>
      </c>
    </row>
    <row r="317">
      <c r="I317" s="10">
        <f>IF(OR(H317="",B317=""),"",IFERROR(ROUND(H317*MAX(VLOOKUP(B317,Collections!$B:$D,2,FALSE),VLOOKUP(B317,Collections!$B:$D,3,FALSE)*10.7639),0),"collection not found"))</f>
        <v/>
      </c>
    </row>
    <row r="318">
      <c r="I318" s="10">
        <f>IF(OR(H318="",B318=""),"",IFERROR(ROUND(H318*MAX(VLOOKUP(B318,Collections!$B:$D,2,FALSE),VLOOKUP(B318,Collections!$B:$D,3,FALSE)*10.7639),0),"collection not found"))</f>
        <v/>
      </c>
    </row>
    <row r="319">
      <c r="I319" s="10">
        <f>IF(OR(H319="",B319=""),"",IFERROR(ROUND(H319*MAX(VLOOKUP(B319,Collections!$B:$D,2,FALSE),VLOOKUP(B319,Collections!$B:$D,3,FALSE)*10.7639),0),"collection not found"))</f>
        <v/>
      </c>
    </row>
    <row r="320">
      <c r="I320" s="10">
        <f>IF(OR(H320="",B320=""),"",IFERROR(ROUND(H320*MAX(VLOOKUP(B320,Collections!$B:$D,2,FALSE),VLOOKUP(B320,Collections!$B:$D,3,FALSE)*10.7639),0),"collection not found"))</f>
        <v/>
      </c>
    </row>
    <row r="321">
      <c r="I321" s="10">
        <f>IF(OR(H321="",B321=""),"",IFERROR(ROUND(H321*MAX(VLOOKUP(B321,Collections!$B:$D,2,FALSE),VLOOKUP(B321,Collections!$B:$D,3,FALSE)*10.7639),0),"collection not found"))</f>
        <v/>
      </c>
    </row>
    <row r="322">
      <c r="I322" s="10">
        <f>IF(OR(H322="",B322=""),"",IFERROR(ROUND(H322*MAX(VLOOKUP(B322,Collections!$B:$D,2,FALSE),VLOOKUP(B322,Collections!$B:$D,3,FALSE)*10.7639),0),"collection not found"))</f>
        <v/>
      </c>
    </row>
    <row r="323">
      <c r="I323" s="10">
        <f>IF(OR(H323="",B323=""),"",IFERROR(ROUND(H323*MAX(VLOOKUP(B323,Collections!$B:$D,2,FALSE),VLOOKUP(B323,Collections!$B:$D,3,FALSE)*10.7639),0),"collection not found"))</f>
        <v/>
      </c>
    </row>
    <row r="324">
      <c r="I324" s="10">
        <f>IF(OR(H324="",B324=""),"",IFERROR(ROUND(H324*MAX(VLOOKUP(B324,Collections!$B:$D,2,FALSE),VLOOKUP(B324,Collections!$B:$D,3,FALSE)*10.7639),0),"collection not found"))</f>
        <v/>
      </c>
    </row>
    <row r="325">
      <c r="I325" s="10">
        <f>IF(OR(H325="",B325=""),"",IFERROR(ROUND(H325*MAX(VLOOKUP(B325,Collections!$B:$D,2,FALSE),VLOOKUP(B325,Collections!$B:$D,3,FALSE)*10.7639),0),"collection not found"))</f>
        <v/>
      </c>
    </row>
    <row r="326">
      <c r="I326" s="10">
        <f>IF(OR(H326="",B326=""),"",IFERROR(ROUND(H326*MAX(VLOOKUP(B326,Collections!$B:$D,2,FALSE),VLOOKUP(B326,Collections!$B:$D,3,FALSE)*10.7639),0),"collection not found"))</f>
        <v/>
      </c>
    </row>
    <row r="327">
      <c r="I327" s="10">
        <f>IF(OR(H327="",B327=""),"",IFERROR(ROUND(H327*MAX(VLOOKUP(B327,Collections!$B:$D,2,FALSE),VLOOKUP(B327,Collections!$B:$D,3,FALSE)*10.7639),0),"collection not found"))</f>
        <v/>
      </c>
    </row>
    <row r="328">
      <c r="I328" s="10">
        <f>IF(OR(H328="",B328=""),"",IFERROR(ROUND(H328*MAX(VLOOKUP(B328,Collections!$B:$D,2,FALSE),VLOOKUP(B328,Collections!$B:$D,3,FALSE)*10.7639),0),"collection not found"))</f>
        <v/>
      </c>
    </row>
    <row r="329">
      <c r="I329" s="10">
        <f>IF(OR(H329="",B329=""),"",IFERROR(ROUND(H329*MAX(VLOOKUP(B329,Collections!$B:$D,2,FALSE),VLOOKUP(B329,Collections!$B:$D,3,FALSE)*10.7639),0),"collection not found"))</f>
        <v/>
      </c>
    </row>
    <row r="330">
      <c r="I330" s="10">
        <f>IF(OR(H330="",B330=""),"",IFERROR(ROUND(H330*MAX(VLOOKUP(B330,Collections!$B:$D,2,FALSE),VLOOKUP(B330,Collections!$B:$D,3,FALSE)*10.7639),0),"collection not found"))</f>
        <v/>
      </c>
    </row>
    <row r="331">
      <c r="I331" s="10">
        <f>IF(OR(H331="",B331=""),"",IFERROR(ROUND(H331*MAX(VLOOKUP(B331,Collections!$B:$D,2,FALSE),VLOOKUP(B331,Collections!$B:$D,3,FALSE)*10.7639),0),"collection not found"))</f>
        <v/>
      </c>
    </row>
    <row r="332">
      <c r="I332" s="10">
        <f>IF(OR(H332="",B332=""),"",IFERROR(ROUND(H332*MAX(VLOOKUP(B332,Collections!$B:$D,2,FALSE),VLOOKUP(B332,Collections!$B:$D,3,FALSE)*10.7639),0),"collection not found"))</f>
        <v/>
      </c>
    </row>
    <row r="333">
      <c r="I333" s="10">
        <f>IF(OR(H333="",B333=""),"",IFERROR(ROUND(H333*MAX(VLOOKUP(B333,Collections!$B:$D,2,FALSE),VLOOKUP(B333,Collections!$B:$D,3,FALSE)*10.7639),0),"collection not found"))</f>
        <v/>
      </c>
    </row>
    <row r="334">
      <c r="I334" s="10">
        <f>IF(OR(H334="",B334=""),"",IFERROR(ROUND(H334*MAX(VLOOKUP(B334,Collections!$B:$D,2,FALSE),VLOOKUP(B334,Collections!$B:$D,3,FALSE)*10.7639),0),"collection not found"))</f>
        <v/>
      </c>
    </row>
    <row r="335">
      <c r="I335" s="10">
        <f>IF(OR(H335="",B335=""),"",IFERROR(ROUND(H335*MAX(VLOOKUP(B335,Collections!$B:$D,2,FALSE),VLOOKUP(B335,Collections!$B:$D,3,FALSE)*10.7639),0),"collection not found"))</f>
        <v/>
      </c>
    </row>
    <row r="336">
      <c r="I336" s="10">
        <f>IF(OR(H336="",B336=""),"",IFERROR(ROUND(H336*MAX(VLOOKUP(B336,Collections!$B:$D,2,FALSE),VLOOKUP(B336,Collections!$B:$D,3,FALSE)*10.7639),0),"collection not found"))</f>
        <v/>
      </c>
    </row>
    <row r="337">
      <c r="I337" s="10">
        <f>IF(OR(H337="",B337=""),"",IFERROR(ROUND(H337*MAX(VLOOKUP(B337,Collections!$B:$D,2,FALSE),VLOOKUP(B337,Collections!$B:$D,3,FALSE)*10.7639),0),"collection not found"))</f>
        <v/>
      </c>
    </row>
    <row r="338">
      <c r="I338" s="10">
        <f>IF(OR(H338="",B338=""),"",IFERROR(ROUND(H338*MAX(VLOOKUP(B338,Collections!$B:$D,2,FALSE),VLOOKUP(B338,Collections!$B:$D,3,FALSE)*10.7639),0),"collection not found"))</f>
        <v/>
      </c>
    </row>
    <row r="339">
      <c r="I339" s="10">
        <f>IF(OR(H339="",B339=""),"",IFERROR(ROUND(H339*MAX(VLOOKUP(B339,Collections!$B:$D,2,FALSE),VLOOKUP(B339,Collections!$B:$D,3,FALSE)*10.7639),0),"collection not found"))</f>
        <v/>
      </c>
    </row>
    <row r="340">
      <c r="I340" s="10">
        <f>IF(OR(H340="",B340=""),"",IFERROR(ROUND(H340*MAX(VLOOKUP(B340,Collections!$B:$D,2,FALSE),VLOOKUP(B340,Collections!$B:$D,3,FALSE)*10.7639),0),"collection not found"))</f>
        <v/>
      </c>
    </row>
    <row r="341">
      <c r="I341" s="10">
        <f>IF(OR(H341="",B341=""),"",IFERROR(ROUND(H341*MAX(VLOOKUP(B341,Collections!$B:$D,2,FALSE),VLOOKUP(B341,Collections!$B:$D,3,FALSE)*10.7639),0),"collection not found"))</f>
        <v/>
      </c>
    </row>
    <row r="342">
      <c r="I342" s="10">
        <f>IF(OR(H342="",B342=""),"",IFERROR(ROUND(H342*MAX(VLOOKUP(B342,Collections!$B:$D,2,FALSE),VLOOKUP(B342,Collections!$B:$D,3,FALSE)*10.7639),0),"collection not found"))</f>
        <v/>
      </c>
    </row>
    <row r="343">
      <c r="I343" s="10">
        <f>IF(OR(H343="",B343=""),"",IFERROR(ROUND(H343*MAX(VLOOKUP(B343,Collections!$B:$D,2,FALSE),VLOOKUP(B343,Collections!$B:$D,3,FALSE)*10.7639),0),"collection not found"))</f>
        <v/>
      </c>
    </row>
    <row r="344">
      <c r="I344" s="10">
        <f>IF(OR(H344="",B344=""),"",IFERROR(ROUND(H344*MAX(VLOOKUP(B344,Collections!$B:$D,2,FALSE),VLOOKUP(B344,Collections!$B:$D,3,FALSE)*10.7639),0),"collection not found"))</f>
        <v/>
      </c>
    </row>
    <row r="345">
      <c r="I345" s="10">
        <f>IF(OR(H345="",B345=""),"",IFERROR(ROUND(H345*MAX(VLOOKUP(B345,Collections!$B:$D,2,FALSE),VLOOKUP(B345,Collections!$B:$D,3,FALSE)*10.7639),0),"collection not found"))</f>
        <v/>
      </c>
    </row>
    <row r="346">
      <c r="I346" s="10">
        <f>IF(OR(H346="",B346=""),"",IFERROR(ROUND(H346*MAX(VLOOKUP(B346,Collections!$B:$D,2,FALSE),VLOOKUP(B346,Collections!$B:$D,3,FALSE)*10.7639),0),"collection not found"))</f>
        <v/>
      </c>
    </row>
    <row r="347">
      <c r="I347" s="10">
        <f>IF(OR(H347="",B347=""),"",IFERROR(ROUND(H347*MAX(VLOOKUP(B347,Collections!$B:$D,2,FALSE),VLOOKUP(B347,Collections!$B:$D,3,FALSE)*10.7639),0),"collection not found"))</f>
        <v/>
      </c>
    </row>
    <row r="348">
      <c r="I348" s="10">
        <f>IF(OR(H348="",B348=""),"",IFERROR(ROUND(H348*MAX(VLOOKUP(B348,Collections!$B:$D,2,FALSE),VLOOKUP(B348,Collections!$B:$D,3,FALSE)*10.7639),0),"collection not found"))</f>
        <v/>
      </c>
    </row>
    <row r="349">
      <c r="I349" s="10">
        <f>IF(OR(H349="",B349=""),"",IFERROR(ROUND(H349*MAX(VLOOKUP(B349,Collections!$B:$D,2,FALSE),VLOOKUP(B349,Collections!$B:$D,3,FALSE)*10.7639),0),"collection not found"))</f>
        <v/>
      </c>
    </row>
    <row r="350">
      <c r="I350" s="10">
        <f>IF(OR(H350="",B350=""),"",IFERROR(ROUND(H350*MAX(VLOOKUP(B350,Collections!$B:$D,2,FALSE),VLOOKUP(B350,Collections!$B:$D,3,FALSE)*10.7639),0),"collection not found"))</f>
        <v/>
      </c>
    </row>
    <row r="351">
      <c r="I351" s="10">
        <f>IF(OR(H351="",B351=""),"",IFERROR(ROUND(H351*MAX(VLOOKUP(B351,Collections!$B:$D,2,FALSE),VLOOKUP(B351,Collections!$B:$D,3,FALSE)*10.7639),0),"collection not found"))</f>
        <v/>
      </c>
    </row>
    <row r="352">
      <c r="I352" s="10">
        <f>IF(OR(H352="",B352=""),"",IFERROR(ROUND(H352*MAX(VLOOKUP(B352,Collections!$B:$D,2,FALSE),VLOOKUP(B352,Collections!$B:$D,3,FALSE)*10.7639),0),"collection not found"))</f>
        <v/>
      </c>
    </row>
    <row r="353">
      <c r="I353" s="10">
        <f>IF(OR(H353="",B353=""),"",IFERROR(ROUND(H353*MAX(VLOOKUP(B353,Collections!$B:$D,2,FALSE),VLOOKUP(B353,Collections!$B:$D,3,FALSE)*10.7639),0),"collection not found"))</f>
        <v/>
      </c>
    </row>
    <row r="354">
      <c r="I354" s="10">
        <f>IF(OR(H354="",B354=""),"",IFERROR(ROUND(H354*MAX(VLOOKUP(B354,Collections!$B:$D,2,FALSE),VLOOKUP(B354,Collections!$B:$D,3,FALSE)*10.7639),0),"collection not found"))</f>
        <v/>
      </c>
    </row>
    <row r="355">
      <c r="I355" s="10">
        <f>IF(OR(H355="",B355=""),"",IFERROR(ROUND(H355*MAX(VLOOKUP(B355,Collections!$B:$D,2,FALSE),VLOOKUP(B355,Collections!$B:$D,3,FALSE)*10.7639),0),"collection not found"))</f>
        <v/>
      </c>
    </row>
    <row r="356">
      <c r="I356" s="10">
        <f>IF(OR(H356="",B356=""),"",IFERROR(ROUND(H356*MAX(VLOOKUP(B356,Collections!$B:$D,2,FALSE),VLOOKUP(B356,Collections!$B:$D,3,FALSE)*10.7639),0),"collection not found"))</f>
        <v/>
      </c>
    </row>
    <row r="357">
      <c r="I357" s="10">
        <f>IF(OR(H357="",B357=""),"",IFERROR(ROUND(H357*MAX(VLOOKUP(B357,Collections!$B:$D,2,FALSE),VLOOKUP(B357,Collections!$B:$D,3,FALSE)*10.7639),0),"collection not found"))</f>
        <v/>
      </c>
    </row>
    <row r="358">
      <c r="I358" s="10">
        <f>IF(OR(H358="",B358=""),"",IFERROR(ROUND(H358*MAX(VLOOKUP(B358,Collections!$B:$D,2,FALSE),VLOOKUP(B358,Collections!$B:$D,3,FALSE)*10.7639),0),"collection not found"))</f>
        <v/>
      </c>
    </row>
    <row r="359">
      <c r="I359" s="10">
        <f>IF(OR(H359="",B359=""),"",IFERROR(ROUND(H359*MAX(VLOOKUP(B359,Collections!$B:$D,2,FALSE),VLOOKUP(B359,Collections!$B:$D,3,FALSE)*10.7639),0),"collection not found"))</f>
        <v/>
      </c>
    </row>
    <row r="360">
      <c r="I360" s="10">
        <f>IF(OR(H360="",B360=""),"",IFERROR(ROUND(H360*MAX(VLOOKUP(B360,Collections!$B:$D,2,FALSE),VLOOKUP(B360,Collections!$B:$D,3,FALSE)*10.7639),0),"collection not found"))</f>
        <v/>
      </c>
    </row>
    <row r="361">
      <c r="I361" s="10">
        <f>IF(OR(H361="",B361=""),"",IFERROR(ROUND(H361*MAX(VLOOKUP(B361,Collections!$B:$D,2,FALSE),VLOOKUP(B361,Collections!$B:$D,3,FALSE)*10.7639),0),"collection not found"))</f>
        <v/>
      </c>
    </row>
    <row r="362">
      <c r="I362" s="10">
        <f>IF(OR(H362="",B362=""),"",IFERROR(ROUND(H362*MAX(VLOOKUP(B362,Collections!$B:$D,2,FALSE),VLOOKUP(B362,Collections!$B:$D,3,FALSE)*10.7639),0),"collection not found"))</f>
        <v/>
      </c>
    </row>
    <row r="363">
      <c r="I363" s="10">
        <f>IF(OR(H363="",B363=""),"",IFERROR(ROUND(H363*MAX(VLOOKUP(B363,Collections!$B:$D,2,FALSE),VLOOKUP(B363,Collections!$B:$D,3,FALSE)*10.7639),0),"collection not found"))</f>
        <v/>
      </c>
    </row>
    <row r="364">
      <c r="I364" s="10">
        <f>IF(OR(H364="",B364=""),"",IFERROR(ROUND(H364*MAX(VLOOKUP(B364,Collections!$B:$D,2,FALSE),VLOOKUP(B364,Collections!$B:$D,3,FALSE)*10.7639),0),"collection not found"))</f>
        <v/>
      </c>
    </row>
    <row r="365">
      <c r="I365" s="10">
        <f>IF(OR(H365="",B365=""),"",IFERROR(ROUND(H365*MAX(VLOOKUP(B365,Collections!$B:$D,2,FALSE),VLOOKUP(B365,Collections!$B:$D,3,FALSE)*10.7639),0),"collection not found"))</f>
        <v/>
      </c>
    </row>
    <row r="366">
      <c r="I366" s="10">
        <f>IF(OR(H366="",B366=""),"",IFERROR(ROUND(H366*MAX(VLOOKUP(B366,Collections!$B:$D,2,FALSE),VLOOKUP(B366,Collections!$B:$D,3,FALSE)*10.7639),0),"collection not found"))</f>
        <v/>
      </c>
    </row>
    <row r="367">
      <c r="I367" s="10">
        <f>IF(OR(H367="",B367=""),"",IFERROR(ROUND(H367*MAX(VLOOKUP(B367,Collections!$B:$D,2,FALSE),VLOOKUP(B367,Collections!$B:$D,3,FALSE)*10.7639),0),"collection not found"))</f>
        <v/>
      </c>
    </row>
    <row r="368">
      <c r="I368" s="10">
        <f>IF(OR(H368="",B368=""),"",IFERROR(ROUND(H368*MAX(VLOOKUP(B368,Collections!$B:$D,2,FALSE),VLOOKUP(B368,Collections!$B:$D,3,FALSE)*10.7639),0),"collection not found"))</f>
        <v/>
      </c>
    </row>
    <row r="369">
      <c r="I369" s="10">
        <f>IF(OR(H369="",B369=""),"",IFERROR(ROUND(H369*MAX(VLOOKUP(B369,Collections!$B:$D,2,FALSE),VLOOKUP(B369,Collections!$B:$D,3,FALSE)*10.7639),0),"collection not found"))</f>
        <v/>
      </c>
    </row>
    <row r="370">
      <c r="I370" s="10">
        <f>IF(OR(H370="",B370=""),"",IFERROR(ROUND(H370*MAX(VLOOKUP(B370,Collections!$B:$D,2,FALSE),VLOOKUP(B370,Collections!$B:$D,3,FALSE)*10.7639),0),"collection not found"))</f>
        <v/>
      </c>
    </row>
    <row r="371">
      <c r="I371" s="10">
        <f>IF(OR(H371="",B371=""),"",IFERROR(ROUND(H371*MAX(VLOOKUP(B371,Collections!$B:$D,2,FALSE),VLOOKUP(B371,Collections!$B:$D,3,FALSE)*10.7639),0),"collection not found"))</f>
        <v/>
      </c>
    </row>
    <row r="372">
      <c r="I372" s="10">
        <f>IF(OR(H372="",B372=""),"",IFERROR(ROUND(H372*MAX(VLOOKUP(B372,Collections!$B:$D,2,FALSE),VLOOKUP(B372,Collections!$B:$D,3,FALSE)*10.7639),0),"collection not found"))</f>
        <v/>
      </c>
    </row>
    <row r="373">
      <c r="I373" s="10">
        <f>IF(OR(H373="",B373=""),"",IFERROR(ROUND(H373*MAX(VLOOKUP(B373,Collections!$B:$D,2,FALSE),VLOOKUP(B373,Collections!$B:$D,3,FALSE)*10.7639),0),"collection not found"))</f>
        <v/>
      </c>
    </row>
    <row r="374">
      <c r="I374" s="10">
        <f>IF(OR(H374="",B374=""),"",IFERROR(ROUND(H374*MAX(VLOOKUP(B374,Collections!$B:$D,2,FALSE),VLOOKUP(B374,Collections!$B:$D,3,FALSE)*10.7639),0),"collection not found"))</f>
        <v/>
      </c>
    </row>
    <row r="375">
      <c r="I375" s="10">
        <f>IF(OR(H375="",B375=""),"",IFERROR(ROUND(H375*MAX(VLOOKUP(B375,Collections!$B:$D,2,FALSE),VLOOKUP(B375,Collections!$B:$D,3,FALSE)*10.7639),0),"collection not found"))</f>
        <v/>
      </c>
    </row>
    <row r="376">
      <c r="I376" s="10">
        <f>IF(OR(H376="",B376=""),"",IFERROR(ROUND(H376*MAX(VLOOKUP(B376,Collections!$B:$D,2,FALSE),VLOOKUP(B376,Collections!$B:$D,3,FALSE)*10.7639),0),"collection not found"))</f>
        <v/>
      </c>
    </row>
    <row r="377">
      <c r="I377" s="10">
        <f>IF(OR(H377="",B377=""),"",IFERROR(ROUND(H377*MAX(VLOOKUP(B377,Collections!$B:$D,2,FALSE),VLOOKUP(B377,Collections!$B:$D,3,FALSE)*10.7639),0),"collection not found"))</f>
        <v/>
      </c>
    </row>
    <row r="378">
      <c r="I378" s="10">
        <f>IF(OR(H378="",B378=""),"",IFERROR(ROUND(H378*MAX(VLOOKUP(B378,Collections!$B:$D,2,FALSE),VLOOKUP(B378,Collections!$B:$D,3,FALSE)*10.7639),0),"collection not found"))</f>
        <v/>
      </c>
    </row>
    <row r="379">
      <c r="I379" s="10">
        <f>IF(OR(H379="",B379=""),"",IFERROR(ROUND(H379*MAX(VLOOKUP(B379,Collections!$B:$D,2,FALSE),VLOOKUP(B379,Collections!$B:$D,3,FALSE)*10.7639),0),"collection not found"))</f>
        <v/>
      </c>
    </row>
    <row r="380">
      <c r="I380" s="10">
        <f>IF(OR(H380="",B380=""),"",IFERROR(ROUND(H380*MAX(VLOOKUP(B380,Collections!$B:$D,2,FALSE),VLOOKUP(B380,Collections!$B:$D,3,FALSE)*10.7639),0),"collection not found"))</f>
        <v/>
      </c>
    </row>
    <row r="381">
      <c r="I381" s="10">
        <f>IF(OR(H381="",B381=""),"",IFERROR(ROUND(H381*MAX(VLOOKUP(B381,Collections!$B:$D,2,FALSE),VLOOKUP(B381,Collections!$B:$D,3,FALSE)*10.7639),0),"collection not found"))</f>
        <v/>
      </c>
    </row>
    <row r="382">
      <c r="I382" s="10">
        <f>IF(OR(H382="",B382=""),"",IFERROR(ROUND(H382*MAX(VLOOKUP(B382,Collections!$B:$D,2,FALSE),VLOOKUP(B382,Collections!$B:$D,3,FALSE)*10.7639),0),"collection not found"))</f>
        <v/>
      </c>
    </row>
    <row r="383">
      <c r="I383" s="10">
        <f>IF(OR(H383="",B383=""),"",IFERROR(ROUND(H383*MAX(VLOOKUP(B383,Collections!$B:$D,2,FALSE),VLOOKUP(B383,Collections!$B:$D,3,FALSE)*10.7639),0),"collection not found"))</f>
        <v/>
      </c>
    </row>
    <row r="384">
      <c r="I384" s="10">
        <f>IF(OR(H384="",B384=""),"",IFERROR(ROUND(H384*MAX(VLOOKUP(B384,Collections!$B:$D,2,FALSE),VLOOKUP(B384,Collections!$B:$D,3,FALSE)*10.7639),0),"collection not found"))</f>
        <v/>
      </c>
    </row>
    <row r="385">
      <c r="I385" s="10">
        <f>IF(OR(H385="",B385=""),"",IFERROR(ROUND(H385*MAX(VLOOKUP(B385,Collections!$B:$D,2,FALSE),VLOOKUP(B385,Collections!$B:$D,3,FALSE)*10.7639),0),"collection not found"))</f>
        <v/>
      </c>
    </row>
    <row r="386">
      <c r="I386" s="10">
        <f>IF(OR(H386="",B386=""),"",IFERROR(ROUND(H386*MAX(VLOOKUP(B386,Collections!$B:$D,2,FALSE),VLOOKUP(B386,Collections!$B:$D,3,FALSE)*10.7639),0),"collection not found"))</f>
        <v/>
      </c>
    </row>
    <row r="387">
      <c r="I387" s="10">
        <f>IF(OR(H387="",B387=""),"",IFERROR(ROUND(H387*MAX(VLOOKUP(B387,Collections!$B:$D,2,FALSE),VLOOKUP(B387,Collections!$B:$D,3,FALSE)*10.7639),0),"collection not found"))</f>
        <v/>
      </c>
    </row>
    <row r="388">
      <c r="I388" s="10">
        <f>IF(OR(H388="",B388=""),"",IFERROR(ROUND(H388*MAX(VLOOKUP(B388,Collections!$B:$D,2,FALSE),VLOOKUP(B388,Collections!$B:$D,3,FALSE)*10.7639),0),"collection not found"))</f>
        <v/>
      </c>
    </row>
    <row r="389">
      <c r="I389" s="10">
        <f>IF(OR(H389="",B389=""),"",IFERROR(ROUND(H389*MAX(VLOOKUP(B389,Collections!$B:$D,2,FALSE),VLOOKUP(B389,Collections!$B:$D,3,FALSE)*10.7639),0),"collection not found"))</f>
        <v/>
      </c>
    </row>
    <row r="390">
      <c r="I390" s="10">
        <f>IF(OR(H390="",B390=""),"",IFERROR(ROUND(H390*MAX(VLOOKUP(B390,Collections!$B:$D,2,FALSE),VLOOKUP(B390,Collections!$B:$D,3,FALSE)*10.7639),0),"collection not found"))</f>
        <v/>
      </c>
    </row>
    <row r="391">
      <c r="I391" s="10">
        <f>IF(OR(H391="",B391=""),"",IFERROR(ROUND(H391*MAX(VLOOKUP(B391,Collections!$B:$D,2,FALSE),VLOOKUP(B391,Collections!$B:$D,3,FALSE)*10.7639),0),"collection not found"))</f>
        <v/>
      </c>
    </row>
    <row r="392">
      <c r="I392" s="10">
        <f>IF(OR(H392="",B392=""),"",IFERROR(ROUND(H392*MAX(VLOOKUP(B392,Collections!$B:$D,2,FALSE),VLOOKUP(B392,Collections!$B:$D,3,FALSE)*10.7639),0),"collection not found"))</f>
        <v/>
      </c>
    </row>
    <row r="393">
      <c r="I393" s="10">
        <f>IF(OR(H393="",B393=""),"",IFERROR(ROUND(H393*MAX(VLOOKUP(B393,Collections!$B:$D,2,FALSE),VLOOKUP(B393,Collections!$B:$D,3,FALSE)*10.7639),0),"collection not found"))</f>
        <v/>
      </c>
    </row>
    <row r="394">
      <c r="I394" s="10">
        <f>IF(OR(H394="",B394=""),"",IFERROR(ROUND(H394*MAX(VLOOKUP(B394,Collections!$B:$D,2,FALSE),VLOOKUP(B394,Collections!$B:$D,3,FALSE)*10.7639),0),"collection not found"))</f>
        <v/>
      </c>
    </row>
    <row r="395">
      <c r="I395" s="10">
        <f>IF(OR(H395="",B395=""),"",IFERROR(ROUND(H395*MAX(VLOOKUP(B395,Collections!$B:$D,2,FALSE),VLOOKUP(B395,Collections!$B:$D,3,FALSE)*10.7639),0),"collection not found"))</f>
        <v/>
      </c>
    </row>
    <row r="396">
      <c r="I396" s="10">
        <f>IF(OR(H396="",B396=""),"",IFERROR(ROUND(H396*MAX(VLOOKUP(B396,Collections!$B:$D,2,FALSE),VLOOKUP(B396,Collections!$B:$D,3,FALSE)*10.7639),0),"collection not found"))</f>
        <v/>
      </c>
    </row>
    <row r="397">
      <c r="I397" s="10">
        <f>IF(OR(H397="",B397=""),"",IFERROR(ROUND(H397*MAX(VLOOKUP(B397,Collections!$B:$D,2,FALSE),VLOOKUP(B397,Collections!$B:$D,3,FALSE)*10.7639),0),"collection not found"))</f>
        <v/>
      </c>
    </row>
    <row r="398">
      <c r="I398" s="10">
        <f>IF(OR(H398="",B398=""),"",IFERROR(ROUND(H398*MAX(VLOOKUP(B398,Collections!$B:$D,2,FALSE),VLOOKUP(B398,Collections!$B:$D,3,FALSE)*10.7639),0),"collection not found"))</f>
        <v/>
      </c>
    </row>
    <row r="399">
      <c r="I399" s="10">
        <f>IF(OR(H399="",B399=""),"",IFERROR(ROUND(H399*MAX(VLOOKUP(B399,Collections!$B:$D,2,FALSE),VLOOKUP(B399,Collections!$B:$D,3,FALSE)*10.7639),0),"collection not found"))</f>
        <v/>
      </c>
    </row>
    <row r="400">
      <c r="I400" s="10">
        <f>IF(OR(H400="",B400=""),"",IFERROR(ROUND(H400*MAX(VLOOKUP(B400,Collections!$B:$D,2,FALSE),VLOOKUP(B400,Collections!$B:$D,3,FALSE)*10.7639),0),"collection not found"))</f>
        <v/>
      </c>
    </row>
    <row r="401">
      <c r="I401" s="10">
        <f>IF(OR(H401="",B401=""),"",IFERROR(ROUND(H401*MAX(VLOOKUP(B401,Collections!$B:$D,2,FALSE),VLOOKUP(B401,Collections!$B:$D,3,FALSE)*10.7639),0),"collection not found"))</f>
        <v/>
      </c>
    </row>
    <row r="402">
      <c r="I402" s="10">
        <f>IF(OR(H402="",B402=""),"",IFERROR(ROUND(H402*MAX(VLOOKUP(B402,Collections!$B:$D,2,FALSE),VLOOKUP(B402,Collections!$B:$D,3,FALSE)*10.7639),0),"collection not found"))</f>
        <v/>
      </c>
    </row>
    <row r="403">
      <c r="I403" s="10">
        <f>IF(OR(H403="",B403=""),"",IFERROR(ROUND(H403*MAX(VLOOKUP(B403,Collections!$B:$D,2,FALSE),VLOOKUP(B403,Collections!$B:$D,3,FALSE)*10.7639),0),"collection not found"))</f>
        <v/>
      </c>
    </row>
    <row r="404">
      <c r="I404" s="10">
        <f>IF(OR(H404="",B404=""),"",IFERROR(ROUND(H404*MAX(VLOOKUP(B404,Collections!$B:$D,2,FALSE),VLOOKUP(B404,Collections!$B:$D,3,FALSE)*10.7639),0),"collection not found"))</f>
        <v/>
      </c>
    </row>
    <row r="405">
      <c r="I405" s="10">
        <f>IF(OR(H405="",B405=""),"",IFERROR(ROUND(H405*MAX(VLOOKUP(B405,Collections!$B:$D,2,FALSE),VLOOKUP(B405,Collections!$B:$D,3,FALSE)*10.7639),0),"collection not found"))</f>
        <v/>
      </c>
    </row>
    <row r="406">
      <c r="I406" s="10">
        <f>IF(OR(H406="",B406=""),"",IFERROR(ROUND(H406*MAX(VLOOKUP(B406,Collections!$B:$D,2,FALSE),VLOOKUP(B406,Collections!$B:$D,3,FALSE)*10.7639),0),"collection not found"))</f>
        <v/>
      </c>
    </row>
    <row r="407">
      <c r="I407" s="10">
        <f>IF(OR(H407="",B407=""),"",IFERROR(ROUND(H407*MAX(VLOOKUP(B407,Collections!$B:$D,2,FALSE),VLOOKUP(B407,Collections!$B:$D,3,FALSE)*10.7639),0),"collection not found"))</f>
        <v/>
      </c>
    </row>
    <row r="408">
      <c r="I408" s="10">
        <f>IF(OR(H408="",B408=""),"",IFERROR(ROUND(H408*MAX(VLOOKUP(B408,Collections!$B:$D,2,FALSE),VLOOKUP(B408,Collections!$B:$D,3,FALSE)*10.7639),0),"collection not found"))</f>
        <v/>
      </c>
    </row>
    <row r="409">
      <c r="I409" s="10">
        <f>IF(OR(H409="",B409=""),"",IFERROR(ROUND(H409*MAX(VLOOKUP(B409,Collections!$B:$D,2,FALSE),VLOOKUP(B409,Collections!$B:$D,3,FALSE)*10.7639),0),"collection not found"))</f>
        <v/>
      </c>
    </row>
    <row r="410">
      <c r="I410" s="10">
        <f>IF(OR(H410="",B410=""),"",IFERROR(ROUND(H410*MAX(VLOOKUP(B410,Collections!$B:$D,2,FALSE),VLOOKUP(B410,Collections!$B:$D,3,FALSE)*10.7639),0),"collection not found"))</f>
        <v/>
      </c>
    </row>
    <row r="411">
      <c r="I411" s="10">
        <f>IF(OR(H411="",B411=""),"",IFERROR(ROUND(H411*MAX(VLOOKUP(B411,Collections!$B:$D,2,FALSE),VLOOKUP(B411,Collections!$B:$D,3,FALSE)*10.7639),0),"collection not found"))</f>
        <v/>
      </c>
    </row>
    <row r="412">
      <c r="I412" s="10">
        <f>IF(OR(H412="",B412=""),"",IFERROR(ROUND(H412*MAX(VLOOKUP(B412,Collections!$B:$D,2,FALSE),VLOOKUP(B412,Collections!$B:$D,3,FALSE)*10.7639),0),"collection not found"))</f>
        <v/>
      </c>
    </row>
    <row r="413">
      <c r="I413" s="10">
        <f>IF(OR(H413="",B413=""),"",IFERROR(ROUND(H413*MAX(VLOOKUP(B413,Collections!$B:$D,2,FALSE),VLOOKUP(B413,Collections!$B:$D,3,FALSE)*10.7639),0),"collection not found"))</f>
        <v/>
      </c>
    </row>
    <row r="414">
      <c r="I414" s="10">
        <f>IF(OR(H414="",B414=""),"",IFERROR(ROUND(H414*MAX(VLOOKUP(B414,Collections!$B:$D,2,FALSE),VLOOKUP(B414,Collections!$B:$D,3,FALSE)*10.7639),0),"collection not found"))</f>
        <v/>
      </c>
    </row>
    <row r="415">
      <c r="I415" s="10">
        <f>IF(OR(H415="",B415=""),"",IFERROR(ROUND(H415*MAX(VLOOKUP(B415,Collections!$B:$D,2,FALSE),VLOOKUP(B415,Collections!$B:$D,3,FALSE)*10.7639),0),"collection not found"))</f>
        <v/>
      </c>
    </row>
    <row r="416">
      <c r="I416" s="10">
        <f>IF(OR(H416="",B416=""),"",IFERROR(ROUND(H416*MAX(VLOOKUP(B416,Collections!$B:$D,2,FALSE),VLOOKUP(B416,Collections!$B:$D,3,FALSE)*10.7639),0),"collection not found"))</f>
        <v/>
      </c>
    </row>
    <row r="417">
      <c r="I417" s="10">
        <f>IF(OR(H417="",B417=""),"",IFERROR(ROUND(H417*MAX(VLOOKUP(B417,Collections!$B:$D,2,FALSE),VLOOKUP(B417,Collections!$B:$D,3,FALSE)*10.7639),0),"collection not found"))</f>
        <v/>
      </c>
    </row>
    <row r="418">
      <c r="I418" s="10">
        <f>IF(OR(H418="",B418=""),"",IFERROR(ROUND(H418*MAX(VLOOKUP(B418,Collections!$B:$D,2,FALSE),VLOOKUP(B418,Collections!$B:$D,3,FALSE)*10.7639),0),"collection not found"))</f>
        <v/>
      </c>
    </row>
    <row r="419">
      <c r="I419" s="10">
        <f>IF(OR(H419="",B419=""),"",IFERROR(ROUND(H419*MAX(VLOOKUP(B419,Collections!$B:$D,2,FALSE),VLOOKUP(B419,Collections!$B:$D,3,FALSE)*10.7639),0),"collection not found"))</f>
        <v/>
      </c>
    </row>
    <row r="420">
      <c r="I420" s="10">
        <f>IF(OR(H420="",B420=""),"",IFERROR(ROUND(H420*MAX(VLOOKUP(B420,Collections!$B:$D,2,FALSE),VLOOKUP(B420,Collections!$B:$D,3,FALSE)*10.7639),0),"collection not found"))</f>
        <v/>
      </c>
    </row>
    <row r="421">
      <c r="I421" s="10">
        <f>IF(OR(H421="",B421=""),"",IFERROR(ROUND(H421*MAX(VLOOKUP(B421,Collections!$B:$D,2,FALSE),VLOOKUP(B421,Collections!$B:$D,3,FALSE)*10.7639),0),"collection not found"))</f>
        <v/>
      </c>
    </row>
    <row r="422">
      <c r="I422" s="10">
        <f>IF(OR(H422="",B422=""),"",IFERROR(ROUND(H422*MAX(VLOOKUP(B422,Collections!$B:$D,2,FALSE),VLOOKUP(B422,Collections!$B:$D,3,FALSE)*10.7639),0),"collection not found"))</f>
        <v/>
      </c>
    </row>
    <row r="423">
      <c r="I423" s="10">
        <f>IF(OR(H423="",B423=""),"",IFERROR(ROUND(H423*MAX(VLOOKUP(B423,Collections!$B:$D,2,FALSE),VLOOKUP(B423,Collections!$B:$D,3,FALSE)*10.7639),0),"collection not found"))</f>
        <v/>
      </c>
    </row>
    <row r="424">
      <c r="I424" s="10">
        <f>IF(OR(H424="",B424=""),"",IFERROR(ROUND(H424*MAX(VLOOKUP(B424,Collections!$B:$D,2,FALSE),VLOOKUP(B424,Collections!$B:$D,3,FALSE)*10.7639),0),"collection not found"))</f>
        <v/>
      </c>
    </row>
    <row r="425">
      <c r="I425" s="10">
        <f>IF(OR(H425="",B425=""),"",IFERROR(ROUND(H425*MAX(VLOOKUP(B425,Collections!$B:$D,2,FALSE),VLOOKUP(B425,Collections!$B:$D,3,FALSE)*10.7639),0),"collection not found"))</f>
        <v/>
      </c>
    </row>
    <row r="426">
      <c r="I426" s="10">
        <f>IF(OR(H426="",B426=""),"",IFERROR(ROUND(H426*MAX(VLOOKUP(B426,Collections!$B:$D,2,FALSE),VLOOKUP(B426,Collections!$B:$D,3,FALSE)*10.7639),0),"collection not found"))</f>
        <v/>
      </c>
    </row>
    <row r="427">
      <c r="I427" s="10">
        <f>IF(OR(H427="",B427=""),"",IFERROR(ROUND(H427*MAX(VLOOKUP(B427,Collections!$B:$D,2,FALSE),VLOOKUP(B427,Collections!$B:$D,3,FALSE)*10.7639),0),"collection not found"))</f>
        <v/>
      </c>
    </row>
    <row r="428">
      <c r="I428" s="10">
        <f>IF(OR(H428="",B428=""),"",IFERROR(ROUND(H428*MAX(VLOOKUP(B428,Collections!$B:$D,2,FALSE),VLOOKUP(B428,Collections!$B:$D,3,FALSE)*10.7639),0),"collection not found"))</f>
        <v/>
      </c>
    </row>
    <row r="429">
      <c r="I429" s="10">
        <f>IF(OR(H429="",B429=""),"",IFERROR(ROUND(H429*MAX(VLOOKUP(B429,Collections!$B:$D,2,FALSE),VLOOKUP(B429,Collections!$B:$D,3,FALSE)*10.7639),0),"collection not found"))</f>
        <v/>
      </c>
    </row>
    <row r="430">
      <c r="I430" s="10">
        <f>IF(OR(H430="",B430=""),"",IFERROR(ROUND(H430*MAX(VLOOKUP(B430,Collections!$B:$D,2,FALSE),VLOOKUP(B430,Collections!$B:$D,3,FALSE)*10.7639),0),"collection not found"))</f>
        <v/>
      </c>
    </row>
    <row r="431">
      <c r="I431" s="10">
        <f>IF(OR(H431="",B431=""),"",IFERROR(ROUND(H431*MAX(VLOOKUP(B431,Collections!$B:$D,2,FALSE),VLOOKUP(B431,Collections!$B:$D,3,FALSE)*10.7639),0),"collection not found"))</f>
        <v/>
      </c>
    </row>
    <row r="432">
      <c r="I432" s="10">
        <f>IF(OR(H432="",B432=""),"",IFERROR(ROUND(H432*MAX(VLOOKUP(B432,Collections!$B:$D,2,FALSE),VLOOKUP(B432,Collections!$B:$D,3,FALSE)*10.7639),0),"collection not found"))</f>
        <v/>
      </c>
    </row>
    <row r="433">
      <c r="I433" s="10">
        <f>IF(OR(H433="",B433=""),"",IFERROR(ROUND(H433*MAX(VLOOKUP(B433,Collections!$B:$D,2,FALSE),VLOOKUP(B433,Collections!$B:$D,3,FALSE)*10.7639),0),"collection not found"))</f>
        <v/>
      </c>
    </row>
    <row r="434">
      <c r="I434" s="10">
        <f>IF(OR(H434="",B434=""),"",IFERROR(ROUND(H434*MAX(VLOOKUP(B434,Collections!$B:$D,2,FALSE),VLOOKUP(B434,Collections!$B:$D,3,FALSE)*10.7639),0),"collection not found"))</f>
        <v/>
      </c>
    </row>
    <row r="435">
      <c r="I435" s="10">
        <f>IF(OR(H435="",B435=""),"",IFERROR(ROUND(H435*MAX(VLOOKUP(B435,Collections!$B:$D,2,FALSE),VLOOKUP(B435,Collections!$B:$D,3,FALSE)*10.7639),0),"collection not found"))</f>
        <v/>
      </c>
    </row>
    <row r="436">
      <c r="I436" s="10">
        <f>IF(OR(H436="",B436=""),"",IFERROR(ROUND(H436*MAX(VLOOKUP(B436,Collections!$B:$D,2,FALSE),VLOOKUP(B436,Collections!$B:$D,3,FALSE)*10.7639),0),"collection not found"))</f>
        <v/>
      </c>
    </row>
    <row r="437">
      <c r="I437" s="10">
        <f>IF(OR(H437="",B437=""),"",IFERROR(ROUND(H437*MAX(VLOOKUP(B437,Collections!$B:$D,2,FALSE),VLOOKUP(B437,Collections!$B:$D,3,FALSE)*10.7639),0),"collection not found"))</f>
        <v/>
      </c>
    </row>
    <row r="438">
      <c r="I438" s="10">
        <f>IF(OR(H438="",B438=""),"",IFERROR(ROUND(H438*MAX(VLOOKUP(B438,Collections!$B:$D,2,FALSE),VLOOKUP(B438,Collections!$B:$D,3,FALSE)*10.7639),0),"collection not found"))</f>
        <v/>
      </c>
    </row>
    <row r="439">
      <c r="I439" s="10">
        <f>IF(OR(H439="",B439=""),"",IFERROR(ROUND(H439*MAX(VLOOKUP(B439,Collections!$B:$D,2,FALSE),VLOOKUP(B439,Collections!$B:$D,3,FALSE)*10.7639),0),"collection not found"))</f>
        <v/>
      </c>
    </row>
    <row r="440">
      <c r="I440" s="10">
        <f>IF(OR(H440="",B440=""),"",IFERROR(ROUND(H440*MAX(VLOOKUP(B440,Collections!$B:$D,2,FALSE),VLOOKUP(B440,Collections!$B:$D,3,FALSE)*10.7639),0),"collection not found"))</f>
        <v/>
      </c>
    </row>
    <row r="441">
      <c r="I441" s="10">
        <f>IF(OR(H441="",B441=""),"",IFERROR(ROUND(H441*MAX(VLOOKUP(B441,Collections!$B:$D,2,FALSE),VLOOKUP(B441,Collections!$B:$D,3,FALSE)*10.7639),0),"collection not found"))</f>
        <v/>
      </c>
    </row>
    <row r="442">
      <c r="I442" s="10">
        <f>IF(OR(H442="",B442=""),"",IFERROR(ROUND(H442*MAX(VLOOKUP(B442,Collections!$B:$D,2,FALSE),VLOOKUP(B442,Collections!$B:$D,3,FALSE)*10.7639),0),"collection not found"))</f>
        <v/>
      </c>
    </row>
    <row r="443">
      <c r="I443" s="10">
        <f>IF(OR(H443="",B443=""),"",IFERROR(ROUND(H443*MAX(VLOOKUP(B443,Collections!$B:$D,2,FALSE),VLOOKUP(B443,Collections!$B:$D,3,FALSE)*10.7639),0),"collection not found"))</f>
        <v/>
      </c>
    </row>
    <row r="444">
      <c r="I444" s="10">
        <f>IF(OR(H444="",B444=""),"",IFERROR(ROUND(H444*MAX(VLOOKUP(B444,Collections!$B:$D,2,FALSE),VLOOKUP(B444,Collections!$B:$D,3,FALSE)*10.7639),0),"collection not found"))</f>
        <v/>
      </c>
    </row>
    <row r="445">
      <c r="I445" s="10">
        <f>IF(OR(H445="",B445=""),"",IFERROR(ROUND(H445*MAX(VLOOKUP(B445,Collections!$B:$D,2,FALSE),VLOOKUP(B445,Collections!$B:$D,3,FALSE)*10.7639),0),"collection not found"))</f>
        <v/>
      </c>
    </row>
    <row r="446">
      <c r="I446" s="10">
        <f>IF(OR(H446="",B446=""),"",IFERROR(ROUND(H446*MAX(VLOOKUP(B446,Collections!$B:$D,2,FALSE),VLOOKUP(B446,Collections!$B:$D,3,FALSE)*10.7639),0),"collection not found"))</f>
        <v/>
      </c>
    </row>
    <row r="447">
      <c r="I447" s="10">
        <f>IF(OR(H447="",B447=""),"",IFERROR(ROUND(H447*MAX(VLOOKUP(B447,Collections!$B:$D,2,FALSE),VLOOKUP(B447,Collections!$B:$D,3,FALSE)*10.7639),0),"collection not found"))</f>
        <v/>
      </c>
    </row>
    <row r="448">
      <c r="I448" s="10">
        <f>IF(OR(H448="",B448=""),"",IFERROR(ROUND(H448*MAX(VLOOKUP(B448,Collections!$B:$D,2,FALSE),VLOOKUP(B448,Collections!$B:$D,3,FALSE)*10.7639),0),"collection not found"))</f>
        <v/>
      </c>
    </row>
    <row r="449">
      <c r="I449" s="10">
        <f>IF(OR(H449="",B449=""),"",IFERROR(ROUND(H449*MAX(VLOOKUP(B449,Collections!$B:$D,2,FALSE),VLOOKUP(B449,Collections!$B:$D,3,FALSE)*10.7639),0),"collection not found"))</f>
        <v/>
      </c>
    </row>
    <row r="450">
      <c r="I450" s="10">
        <f>IF(OR(H450="",B450=""),"",IFERROR(ROUND(H450*MAX(VLOOKUP(B450,Collections!$B:$D,2,FALSE),VLOOKUP(B450,Collections!$B:$D,3,FALSE)*10.7639),0),"collection not found"))</f>
        <v/>
      </c>
    </row>
    <row r="451">
      <c r="I451" s="10">
        <f>IF(OR(H451="",B451=""),"",IFERROR(ROUND(H451*MAX(VLOOKUP(B451,Collections!$B:$D,2,FALSE),VLOOKUP(B451,Collections!$B:$D,3,FALSE)*10.7639),0),"collection not found"))</f>
        <v/>
      </c>
    </row>
    <row r="452">
      <c r="I452" s="10">
        <f>IF(OR(H452="",B452=""),"",IFERROR(ROUND(H452*MAX(VLOOKUP(B452,Collections!$B:$D,2,FALSE),VLOOKUP(B452,Collections!$B:$D,3,FALSE)*10.7639),0),"collection not found"))</f>
        <v/>
      </c>
    </row>
    <row r="453">
      <c r="I453" s="10">
        <f>IF(OR(H453="",B453=""),"",IFERROR(ROUND(H453*MAX(VLOOKUP(B453,Collections!$B:$D,2,FALSE),VLOOKUP(B453,Collections!$B:$D,3,FALSE)*10.7639),0),"collection not found"))</f>
        <v/>
      </c>
    </row>
    <row r="454">
      <c r="I454" s="10">
        <f>IF(OR(H454="",B454=""),"",IFERROR(ROUND(H454*MAX(VLOOKUP(B454,Collections!$B:$D,2,FALSE),VLOOKUP(B454,Collections!$B:$D,3,FALSE)*10.7639),0),"collection not found"))</f>
        <v/>
      </c>
    </row>
    <row r="455">
      <c r="I455" s="10">
        <f>IF(OR(H455="",B455=""),"",IFERROR(ROUND(H455*MAX(VLOOKUP(B455,Collections!$B:$D,2,FALSE),VLOOKUP(B455,Collections!$B:$D,3,FALSE)*10.7639),0),"collection not found"))</f>
        <v/>
      </c>
    </row>
    <row r="456">
      <c r="I456" s="10">
        <f>IF(OR(H456="",B456=""),"",IFERROR(ROUND(H456*MAX(VLOOKUP(B456,Collections!$B:$D,2,FALSE),VLOOKUP(B456,Collections!$B:$D,3,FALSE)*10.7639),0),"collection not found"))</f>
        <v/>
      </c>
    </row>
    <row r="457">
      <c r="I457" s="10">
        <f>IF(OR(H457="",B457=""),"",IFERROR(ROUND(H457*MAX(VLOOKUP(B457,Collections!$B:$D,2,FALSE),VLOOKUP(B457,Collections!$B:$D,3,FALSE)*10.7639),0),"collection not found"))</f>
        <v/>
      </c>
    </row>
    <row r="458">
      <c r="I458" s="10">
        <f>IF(OR(H458="",B458=""),"",IFERROR(ROUND(H458*MAX(VLOOKUP(B458,Collections!$B:$D,2,FALSE),VLOOKUP(B458,Collections!$B:$D,3,FALSE)*10.7639),0),"collection not found"))</f>
        <v/>
      </c>
    </row>
    <row r="459">
      <c r="I459" s="10">
        <f>IF(OR(H459="",B459=""),"",IFERROR(ROUND(H459*MAX(VLOOKUP(B459,Collections!$B:$D,2,FALSE),VLOOKUP(B459,Collections!$B:$D,3,FALSE)*10.7639),0),"collection not found"))</f>
        <v/>
      </c>
    </row>
    <row r="460">
      <c r="I460" s="10">
        <f>IF(OR(H460="",B460=""),"",IFERROR(ROUND(H460*MAX(VLOOKUP(B460,Collections!$B:$D,2,FALSE),VLOOKUP(B460,Collections!$B:$D,3,FALSE)*10.7639),0),"collection not found"))</f>
        <v/>
      </c>
    </row>
    <row r="461">
      <c r="I461" s="10">
        <f>IF(OR(H461="",B461=""),"",IFERROR(ROUND(H461*MAX(VLOOKUP(B461,Collections!$B:$D,2,FALSE),VLOOKUP(B461,Collections!$B:$D,3,FALSE)*10.7639),0),"collection not found"))</f>
        <v/>
      </c>
    </row>
    <row r="462">
      <c r="I462" s="10">
        <f>IF(OR(H462="",B462=""),"",IFERROR(ROUND(H462*MAX(VLOOKUP(B462,Collections!$B:$D,2,FALSE),VLOOKUP(B462,Collections!$B:$D,3,FALSE)*10.7639),0),"collection not found"))</f>
        <v/>
      </c>
    </row>
    <row r="463">
      <c r="I463" s="10">
        <f>IF(OR(H463="",B463=""),"",IFERROR(ROUND(H463*MAX(VLOOKUP(B463,Collections!$B:$D,2,FALSE),VLOOKUP(B463,Collections!$B:$D,3,FALSE)*10.7639),0),"collection not found"))</f>
        <v/>
      </c>
    </row>
    <row r="464">
      <c r="I464" s="10">
        <f>IF(OR(H464="",B464=""),"",IFERROR(ROUND(H464*MAX(VLOOKUP(B464,Collections!$B:$D,2,FALSE),VLOOKUP(B464,Collections!$B:$D,3,FALSE)*10.7639),0),"collection not found"))</f>
        <v/>
      </c>
    </row>
    <row r="465">
      <c r="I465" s="10">
        <f>IF(OR(H465="",B465=""),"",IFERROR(ROUND(H465*MAX(VLOOKUP(B465,Collections!$B:$D,2,FALSE),VLOOKUP(B465,Collections!$B:$D,3,FALSE)*10.7639),0),"collection not found"))</f>
        <v/>
      </c>
    </row>
    <row r="466">
      <c r="I466" s="10">
        <f>IF(OR(H466="",B466=""),"",IFERROR(ROUND(H466*MAX(VLOOKUP(B466,Collections!$B:$D,2,FALSE),VLOOKUP(B466,Collections!$B:$D,3,FALSE)*10.7639),0),"collection not found"))</f>
        <v/>
      </c>
    </row>
    <row r="467">
      <c r="I467" s="10">
        <f>IF(OR(H467="",B467=""),"",IFERROR(ROUND(H467*MAX(VLOOKUP(B467,Collections!$B:$D,2,FALSE),VLOOKUP(B467,Collections!$B:$D,3,FALSE)*10.7639),0),"collection not found"))</f>
        <v/>
      </c>
    </row>
    <row r="468">
      <c r="I468" s="10">
        <f>IF(OR(H468="",B468=""),"",IFERROR(ROUND(H468*MAX(VLOOKUP(B468,Collections!$B:$D,2,FALSE),VLOOKUP(B468,Collections!$B:$D,3,FALSE)*10.7639),0),"collection not found"))</f>
        <v/>
      </c>
    </row>
    <row r="469">
      <c r="I469" s="10">
        <f>IF(OR(H469="",B469=""),"",IFERROR(ROUND(H469*MAX(VLOOKUP(B469,Collections!$B:$D,2,FALSE),VLOOKUP(B469,Collections!$B:$D,3,FALSE)*10.7639),0),"collection not found"))</f>
        <v/>
      </c>
    </row>
    <row r="470">
      <c r="I470" s="10">
        <f>IF(OR(H470="",B470=""),"",IFERROR(ROUND(H470*MAX(VLOOKUP(B470,Collections!$B:$D,2,FALSE),VLOOKUP(B470,Collections!$B:$D,3,FALSE)*10.7639),0),"collection not found"))</f>
        <v/>
      </c>
    </row>
    <row r="471">
      <c r="I471" s="10">
        <f>IF(OR(H471="",B471=""),"",IFERROR(ROUND(H471*MAX(VLOOKUP(B471,Collections!$B:$D,2,FALSE),VLOOKUP(B471,Collections!$B:$D,3,FALSE)*10.7639),0),"collection not found"))</f>
        <v/>
      </c>
    </row>
    <row r="472">
      <c r="I472" s="10">
        <f>IF(OR(H472="",B472=""),"",IFERROR(ROUND(H472*MAX(VLOOKUP(B472,Collections!$B:$D,2,FALSE),VLOOKUP(B472,Collections!$B:$D,3,FALSE)*10.7639),0),"collection not found"))</f>
        <v/>
      </c>
    </row>
    <row r="473">
      <c r="I473" s="10">
        <f>IF(OR(H473="",B473=""),"",IFERROR(ROUND(H473*MAX(VLOOKUP(B473,Collections!$B:$D,2,FALSE),VLOOKUP(B473,Collections!$B:$D,3,FALSE)*10.7639),0),"collection not found"))</f>
        <v/>
      </c>
    </row>
    <row r="474">
      <c r="I474" s="10">
        <f>IF(OR(H474="",B474=""),"",IFERROR(ROUND(H474*MAX(VLOOKUP(B474,Collections!$B:$D,2,FALSE),VLOOKUP(B474,Collections!$B:$D,3,FALSE)*10.7639),0),"collection not found"))</f>
        <v/>
      </c>
    </row>
    <row r="475">
      <c r="I475" s="10">
        <f>IF(OR(H475="",B475=""),"",IFERROR(ROUND(H475*MAX(VLOOKUP(B475,Collections!$B:$D,2,FALSE),VLOOKUP(B475,Collections!$B:$D,3,FALSE)*10.7639),0),"collection not found"))</f>
        <v/>
      </c>
    </row>
    <row r="476">
      <c r="I476" s="10">
        <f>IF(OR(H476="",B476=""),"",IFERROR(ROUND(H476*MAX(VLOOKUP(B476,Collections!$B:$D,2,FALSE),VLOOKUP(B476,Collections!$B:$D,3,FALSE)*10.7639),0),"collection not found"))</f>
        <v/>
      </c>
    </row>
    <row r="477">
      <c r="I477" s="10">
        <f>IF(OR(H477="",B477=""),"",IFERROR(ROUND(H477*MAX(VLOOKUP(B477,Collections!$B:$D,2,FALSE),VLOOKUP(B477,Collections!$B:$D,3,FALSE)*10.7639),0),"collection not found"))</f>
        <v/>
      </c>
    </row>
    <row r="478">
      <c r="I478" s="10">
        <f>IF(OR(H478="",B478=""),"",IFERROR(ROUND(H478*MAX(VLOOKUP(B478,Collections!$B:$D,2,FALSE),VLOOKUP(B478,Collections!$B:$D,3,FALSE)*10.7639),0),"collection not found"))</f>
        <v/>
      </c>
    </row>
    <row r="479">
      <c r="I479" s="10">
        <f>IF(OR(H479="",B479=""),"",IFERROR(ROUND(H479*MAX(VLOOKUP(B479,Collections!$B:$D,2,FALSE),VLOOKUP(B479,Collections!$B:$D,3,FALSE)*10.7639),0),"collection not found"))</f>
        <v/>
      </c>
    </row>
    <row r="480">
      <c r="I480" s="10">
        <f>IF(OR(H480="",B480=""),"",IFERROR(ROUND(H480*MAX(VLOOKUP(B480,Collections!$B:$D,2,FALSE),VLOOKUP(B480,Collections!$B:$D,3,FALSE)*10.7639),0),"collection not found"))</f>
        <v/>
      </c>
    </row>
    <row r="481">
      <c r="I481" s="10">
        <f>IF(OR(H481="",B481=""),"",IFERROR(ROUND(H481*MAX(VLOOKUP(B481,Collections!$B:$D,2,FALSE),VLOOKUP(B481,Collections!$B:$D,3,FALSE)*10.7639),0),"collection not found"))</f>
        <v/>
      </c>
    </row>
    <row r="482">
      <c r="I482" s="10">
        <f>IF(OR(H482="",B482=""),"",IFERROR(ROUND(H482*MAX(VLOOKUP(B482,Collections!$B:$D,2,FALSE),VLOOKUP(B482,Collections!$B:$D,3,FALSE)*10.7639),0),"collection not found"))</f>
        <v/>
      </c>
    </row>
    <row r="483">
      <c r="I483" s="10">
        <f>IF(OR(H483="",B483=""),"",IFERROR(ROUND(H483*MAX(VLOOKUP(B483,Collections!$B:$D,2,FALSE),VLOOKUP(B483,Collections!$B:$D,3,FALSE)*10.7639),0),"collection not found"))</f>
        <v/>
      </c>
    </row>
    <row r="484">
      <c r="I484" s="10">
        <f>IF(OR(H484="",B484=""),"",IFERROR(ROUND(H484*MAX(VLOOKUP(B484,Collections!$B:$D,2,FALSE),VLOOKUP(B484,Collections!$B:$D,3,FALSE)*10.7639),0),"collection not found"))</f>
        <v/>
      </c>
    </row>
    <row r="485">
      <c r="I485" s="10">
        <f>IF(OR(H485="",B485=""),"",IFERROR(ROUND(H485*MAX(VLOOKUP(B485,Collections!$B:$D,2,FALSE),VLOOKUP(B485,Collections!$B:$D,3,FALSE)*10.7639),0),"collection not found"))</f>
        <v/>
      </c>
    </row>
    <row r="486">
      <c r="I486" s="10">
        <f>IF(OR(H486="",B486=""),"",IFERROR(ROUND(H486*MAX(VLOOKUP(B486,Collections!$B:$D,2,FALSE),VLOOKUP(B486,Collections!$B:$D,3,FALSE)*10.7639),0),"collection not found"))</f>
        <v/>
      </c>
    </row>
    <row r="487">
      <c r="I487" s="10">
        <f>IF(OR(H487="",B487=""),"",IFERROR(ROUND(H487*MAX(VLOOKUP(B487,Collections!$B:$D,2,FALSE),VLOOKUP(B487,Collections!$B:$D,3,FALSE)*10.7639),0),"collection not found"))</f>
        <v/>
      </c>
    </row>
    <row r="488">
      <c r="I488" s="10">
        <f>IF(OR(H488="",B488=""),"",IFERROR(ROUND(H488*MAX(VLOOKUP(B488,Collections!$B:$D,2,FALSE),VLOOKUP(B488,Collections!$B:$D,3,FALSE)*10.7639),0),"collection not found"))</f>
        <v/>
      </c>
    </row>
    <row r="489">
      <c r="I489" s="10">
        <f>IF(OR(H489="",B489=""),"",IFERROR(ROUND(H489*MAX(VLOOKUP(B489,Collections!$B:$D,2,FALSE),VLOOKUP(B489,Collections!$B:$D,3,FALSE)*10.7639),0),"collection not found"))</f>
        <v/>
      </c>
    </row>
    <row r="490">
      <c r="I490" s="10">
        <f>IF(OR(H490="",B490=""),"",IFERROR(ROUND(H490*MAX(VLOOKUP(B490,Collections!$B:$D,2,FALSE),VLOOKUP(B490,Collections!$B:$D,3,FALSE)*10.7639),0),"collection not found"))</f>
        <v/>
      </c>
    </row>
    <row r="491">
      <c r="I491" s="10">
        <f>IF(OR(H491="",B491=""),"",IFERROR(ROUND(H491*MAX(VLOOKUP(B491,Collections!$B:$D,2,FALSE),VLOOKUP(B491,Collections!$B:$D,3,FALSE)*10.7639),0),"collection not found"))</f>
        <v/>
      </c>
    </row>
    <row r="492">
      <c r="I492" s="10">
        <f>IF(OR(H492="",B492=""),"",IFERROR(ROUND(H492*MAX(VLOOKUP(B492,Collections!$B:$D,2,FALSE),VLOOKUP(B492,Collections!$B:$D,3,FALSE)*10.7639),0),"collection not found"))</f>
        <v/>
      </c>
    </row>
    <row r="493">
      <c r="I493" s="10">
        <f>IF(OR(H493="",B493=""),"",IFERROR(ROUND(H493*MAX(VLOOKUP(B493,Collections!$B:$D,2,FALSE),VLOOKUP(B493,Collections!$B:$D,3,FALSE)*10.7639),0),"collection not found"))</f>
        <v/>
      </c>
    </row>
    <row r="494">
      <c r="I494" s="10">
        <f>IF(OR(H494="",B494=""),"",IFERROR(ROUND(H494*MAX(VLOOKUP(B494,Collections!$B:$D,2,FALSE),VLOOKUP(B494,Collections!$B:$D,3,FALSE)*10.7639),0),"collection not found"))</f>
        <v/>
      </c>
    </row>
    <row r="495">
      <c r="I495" s="10">
        <f>IF(OR(H495="",B495=""),"",IFERROR(ROUND(H495*MAX(VLOOKUP(B495,Collections!$B:$D,2,FALSE),VLOOKUP(B495,Collections!$B:$D,3,FALSE)*10.7639),0),"collection not found"))</f>
        <v/>
      </c>
    </row>
    <row r="496">
      <c r="I496" s="10">
        <f>IF(OR(H496="",B496=""),"",IFERROR(ROUND(H496*MAX(VLOOKUP(B496,Collections!$B:$D,2,FALSE),VLOOKUP(B496,Collections!$B:$D,3,FALSE)*10.7639),0),"collection not found"))</f>
        <v/>
      </c>
    </row>
    <row r="497">
      <c r="I497" s="10">
        <f>IF(OR(H497="",B497=""),"",IFERROR(ROUND(H497*MAX(VLOOKUP(B497,Collections!$B:$D,2,FALSE),VLOOKUP(B497,Collections!$B:$D,3,FALSE)*10.7639),0),"collection not found"))</f>
        <v/>
      </c>
    </row>
    <row r="498">
      <c r="I498" s="10">
        <f>IF(OR(H498="",B498=""),"",IFERROR(ROUND(H498*MAX(VLOOKUP(B498,Collections!$B:$D,2,FALSE),VLOOKUP(B498,Collections!$B:$D,3,FALSE)*10.7639),0),"collection not found"))</f>
        <v/>
      </c>
    </row>
    <row r="499">
      <c r="I499" s="10">
        <f>IF(OR(H499="",B499=""),"",IFERROR(ROUND(H499*MAX(VLOOKUP(B499,Collections!$B:$D,2,FALSE),VLOOKUP(B499,Collections!$B:$D,3,FALSE)*10.7639),0),"collection not found"))</f>
        <v/>
      </c>
    </row>
    <row r="500">
      <c r="I500" s="10">
        <f>IF(OR(H500="",B500=""),"",IFERROR(ROUND(H500*MAX(VLOOKUP(B500,Collections!$B:$D,2,FALSE),VLOOKUP(B500,Collections!$B:$D,3,FALSE)*10.7639),0),"collection not found"))</f>
        <v/>
      </c>
    </row>
    <row r="501">
      <c r="I501" s="10">
        <f>IF(OR(H501="",B501=""),"",IFERROR(ROUND(H501*MAX(VLOOKUP(B501,Collections!$B:$D,2,FALSE),VLOOKUP(B501,Collections!$B:$D,3,FALSE)*10.7639),0),"collection not found"))</f>
        <v/>
      </c>
    </row>
    <row r="502">
      <c r="I502" s="10">
        <f>IF(OR(H502="",B502=""),"",IFERROR(ROUND(H502*MAX(VLOOKUP(B502,Collections!$B:$D,2,FALSE),VLOOKUP(B502,Collections!$B:$D,3,FALSE)*10.7639),0),"collection not found"))</f>
        <v/>
      </c>
    </row>
    <row r="503">
      <c r="I503" s="10">
        <f>IF(OR(H503="",B503=""),"",IFERROR(ROUND(H503*MAX(VLOOKUP(B503,Collections!$B:$D,2,FALSE),VLOOKUP(B503,Collections!$B:$D,3,FALSE)*10.7639),0),"collection not found"))</f>
        <v/>
      </c>
    </row>
    <row r="504">
      <c r="I504" s="10">
        <f>IF(OR(H504="",B504=""),"",IFERROR(ROUND(H504*MAX(VLOOKUP(B504,Collections!$B:$D,2,FALSE),VLOOKUP(B504,Collections!$B:$D,3,FALSE)*10.7639),0),"collection not found"))</f>
        <v/>
      </c>
    </row>
    <row r="505">
      <c r="I505" s="10">
        <f>IF(OR(H505="",B505=""),"",IFERROR(ROUND(H505*MAX(VLOOKUP(B505,Collections!$B:$D,2,FALSE),VLOOKUP(B505,Collections!$B:$D,3,FALSE)*10.7639),0),"collection not found"))</f>
        <v/>
      </c>
    </row>
    <row r="506">
      <c r="I506" s="10">
        <f>IF(OR(H506="",B506=""),"",IFERROR(ROUND(H506*MAX(VLOOKUP(B506,Collections!$B:$D,2,FALSE),VLOOKUP(B506,Collections!$B:$D,3,FALSE)*10.7639),0),"collection not found"))</f>
        <v/>
      </c>
    </row>
    <row r="507">
      <c r="I507" s="10">
        <f>IF(OR(H507="",B507=""),"",IFERROR(ROUND(H507*MAX(VLOOKUP(B507,Collections!$B:$D,2,FALSE),VLOOKUP(B507,Collections!$B:$D,3,FALSE)*10.7639),0),"collection not found"))</f>
        <v/>
      </c>
    </row>
    <row r="508">
      <c r="I508" s="10">
        <f>IF(OR(H508="",B508=""),"",IFERROR(ROUND(H508*MAX(VLOOKUP(B508,Collections!$B:$D,2,FALSE),VLOOKUP(B508,Collections!$B:$D,3,FALSE)*10.7639),0),"collection not found"))</f>
        <v/>
      </c>
    </row>
    <row r="509">
      <c r="I509" s="10">
        <f>IF(OR(H509="",B509=""),"",IFERROR(ROUND(H509*MAX(VLOOKUP(B509,Collections!$B:$D,2,FALSE),VLOOKUP(B509,Collections!$B:$D,3,FALSE)*10.7639),0),"collection not found"))</f>
        <v/>
      </c>
    </row>
    <row r="510">
      <c r="I510" s="10">
        <f>IF(OR(H510="",B510=""),"",IFERROR(ROUND(H510*MAX(VLOOKUP(B510,Collections!$B:$D,2,FALSE),VLOOKUP(B510,Collections!$B:$D,3,FALSE)*10.7639),0),"collection not found"))</f>
        <v/>
      </c>
    </row>
    <row r="511">
      <c r="I511" s="10">
        <f>IF(OR(H511="",B511=""),"",IFERROR(ROUND(H511*MAX(VLOOKUP(B511,Collections!$B:$D,2,FALSE),VLOOKUP(B511,Collections!$B:$D,3,FALSE)*10.7639),0),"collection not found"))</f>
        <v/>
      </c>
    </row>
    <row r="512">
      <c r="I512" s="10">
        <f>IF(OR(H512="",B512=""),"",IFERROR(ROUND(H512*MAX(VLOOKUP(B512,Collections!$B:$D,2,FALSE),VLOOKUP(B512,Collections!$B:$D,3,FALSE)*10.7639),0),"collection not found"))</f>
        <v/>
      </c>
    </row>
    <row r="513">
      <c r="I513" s="10">
        <f>IF(OR(H513="",B513=""),"",IFERROR(ROUND(H513*MAX(VLOOKUP(B513,Collections!$B:$D,2,FALSE),VLOOKUP(B513,Collections!$B:$D,3,FALSE)*10.7639),0),"collection not found"))</f>
        <v/>
      </c>
    </row>
    <row r="514">
      <c r="I514" s="10">
        <f>IF(OR(H514="",B514=""),"",IFERROR(ROUND(H514*MAX(VLOOKUP(B514,Collections!$B:$D,2,FALSE),VLOOKUP(B514,Collections!$B:$D,3,FALSE)*10.7639),0),"collection not found"))</f>
        <v/>
      </c>
    </row>
    <row r="515">
      <c r="I515" s="10">
        <f>IF(OR(H515="",B515=""),"",IFERROR(ROUND(H515*MAX(VLOOKUP(B515,Collections!$B:$D,2,FALSE),VLOOKUP(B515,Collections!$B:$D,3,FALSE)*10.7639),0),"collection not found"))</f>
        <v/>
      </c>
    </row>
    <row r="516">
      <c r="I516" s="10">
        <f>IF(OR(H516="",B516=""),"",IFERROR(ROUND(H516*MAX(VLOOKUP(B516,Collections!$B:$D,2,FALSE),VLOOKUP(B516,Collections!$B:$D,3,FALSE)*10.7639),0),"collection not found"))</f>
        <v/>
      </c>
    </row>
    <row r="517">
      <c r="I517" s="10">
        <f>IF(OR(H517="",B517=""),"",IFERROR(ROUND(H517*MAX(VLOOKUP(B517,Collections!$B:$D,2,FALSE),VLOOKUP(B517,Collections!$B:$D,3,FALSE)*10.7639),0),"collection not found"))</f>
        <v/>
      </c>
    </row>
    <row r="518">
      <c r="I518" s="10">
        <f>IF(OR(H518="",B518=""),"",IFERROR(ROUND(H518*MAX(VLOOKUP(B518,Collections!$B:$D,2,FALSE),VLOOKUP(B518,Collections!$B:$D,3,FALSE)*10.7639),0),"collection not found"))</f>
        <v/>
      </c>
    </row>
    <row r="519">
      <c r="I519" s="10">
        <f>IF(OR(H519="",B519=""),"",IFERROR(ROUND(H519*MAX(VLOOKUP(B519,Collections!$B:$D,2,FALSE),VLOOKUP(B519,Collections!$B:$D,3,FALSE)*10.7639),0),"collection not found"))</f>
        <v/>
      </c>
    </row>
    <row r="520">
      <c r="I520" s="10">
        <f>IF(OR(H520="",B520=""),"",IFERROR(ROUND(H520*MAX(VLOOKUP(B520,Collections!$B:$D,2,FALSE),VLOOKUP(B520,Collections!$B:$D,3,FALSE)*10.7639),0),"collection not found"))</f>
        <v/>
      </c>
    </row>
    <row r="521">
      <c r="I521" s="10">
        <f>IF(OR(H521="",B521=""),"",IFERROR(ROUND(H521*MAX(VLOOKUP(B521,Collections!$B:$D,2,FALSE),VLOOKUP(B521,Collections!$B:$D,3,FALSE)*10.7639),0),"collection not found"))</f>
        <v/>
      </c>
    </row>
    <row r="522">
      <c r="I522" s="10">
        <f>IF(OR(H522="",B522=""),"",IFERROR(ROUND(H522*MAX(VLOOKUP(B522,Collections!$B:$D,2,FALSE),VLOOKUP(B522,Collections!$B:$D,3,FALSE)*10.7639),0),"collection not found"))</f>
        <v/>
      </c>
    </row>
    <row r="523">
      <c r="I523" s="10">
        <f>IF(OR(H523="",B523=""),"",IFERROR(ROUND(H523*MAX(VLOOKUP(B523,Collections!$B:$D,2,FALSE),VLOOKUP(B523,Collections!$B:$D,3,FALSE)*10.7639),0),"collection not found"))</f>
        <v/>
      </c>
    </row>
    <row r="524">
      <c r="I524" s="10">
        <f>IF(OR(H524="",B524=""),"",IFERROR(ROUND(H524*MAX(VLOOKUP(B524,Collections!$B:$D,2,FALSE),VLOOKUP(B524,Collections!$B:$D,3,FALSE)*10.7639),0),"collection not found"))</f>
        <v/>
      </c>
    </row>
    <row r="525">
      <c r="I525" s="10">
        <f>IF(OR(H525="",B525=""),"",IFERROR(ROUND(H525*MAX(VLOOKUP(B525,Collections!$B:$D,2,FALSE),VLOOKUP(B525,Collections!$B:$D,3,FALSE)*10.7639),0),"collection not found"))</f>
        <v/>
      </c>
    </row>
    <row r="526">
      <c r="I526" s="10">
        <f>IF(OR(H526="",B526=""),"",IFERROR(ROUND(H526*MAX(VLOOKUP(B526,Collections!$B:$D,2,FALSE),VLOOKUP(B526,Collections!$B:$D,3,FALSE)*10.7639),0),"collection not found"))</f>
        <v/>
      </c>
    </row>
    <row r="527">
      <c r="I527" s="10">
        <f>IF(OR(H527="",B527=""),"",IFERROR(ROUND(H527*MAX(VLOOKUP(B527,Collections!$B:$D,2,FALSE),VLOOKUP(B527,Collections!$B:$D,3,FALSE)*10.7639),0),"collection not found"))</f>
        <v/>
      </c>
    </row>
    <row r="528">
      <c r="I528" s="10">
        <f>IF(OR(H528="",B528=""),"",IFERROR(ROUND(H528*MAX(VLOOKUP(B528,Collections!$B:$D,2,FALSE),VLOOKUP(B528,Collections!$B:$D,3,FALSE)*10.7639),0),"collection not found"))</f>
        <v/>
      </c>
    </row>
    <row r="529">
      <c r="I529" s="10">
        <f>IF(OR(H529="",B529=""),"",IFERROR(ROUND(H529*MAX(VLOOKUP(B529,Collections!$B:$D,2,FALSE),VLOOKUP(B529,Collections!$B:$D,3,FALSE)*10.7639),0),"collection not found"))</f>
        <v/>
      </c>
    </row>
    <row r="530">
      <c r="I530" s="10">
        <f>IF(OR(H530="",B530=""),"",IFERROR(ROUND(H530*MAX(VLOOKUP(B530,Collections!$B:$D,2,FALSE),VLOOKUP(B530,Collections!$B:$D,3,FALSE)*10.7639),0),"collection not found"))</f>
        <v/>
      </c>
    </row>
    <row r="531">
      <c r="I531" s="10">
        <f>IF(OR(H531="",B531=""),"",IFERROR(ROUND(H531*MAX(VLOOKUP(B531,Collections!$B:$D,2,FALSE),VLOOKUP(B531,Collections!$B:$D,3,FALSE)*10.7639),0),"collection not found"))</f>
        <v/>
      </c>
    </row>
    <row r="532">
      <c r="I532" s="10">
        <f>IF(OR(H532="",B532=""),"",IFERROR(ROUND(H532*MAX(VLOOKUP(B532,Collections!$B:$D,2,FALSE),VLOOKUP(B532,Collections!$B:$D,3,FALSE)*10.7639),0),"collection not found"))</f>
        <v/>
      </c>
    </row>
    <row r="533">
      <c r="I533" s="10">
        <f>IF(OR(H533="",B533=""),"",IFERROR(ROUND(H533*MAX(VLOOKUP(B533,Collections!$B:$D,2,FALSE),VLOOKUP(B533,Collections!$B:$D,3,FALSE)*10.7639),0),"collection not found"))</f>
        <v/>
      </c>
    </row>
    <row r="534">
      <c r="I534" s="10">
        <f>IF(OR(H534="",B534=""),"",IFERROR(ROUND(H534*MAX(VLOOKUP(B534,Collections!$B:$D,2,FALSE),VLOOKUP(B534,Collections!$B:$D,3,FALSE)*10.7639),0),"collection not found"))</f>
        <v/>
      </c>
    </row>
    <row r="535">
      <c r="I535" s="10">
        <f>IF(OR(H535="",B535=""),"",IFERROR(ROUND(H535*MAX(VLOOKUP(B535,Collections!$B:$D,2,FALSE),VLOOKUP(B535,Collections!$B:$D,3,FALSE)*10.7639),0),"collection not found"))</f>
        <v/>
      </c>
    </row>
    <row r="536">
      <c r="I536" s="10">
        <f>IF(OR(H536="",B536=""),"",IFERROR(ROUND(H536*MAX(VLOOKUP(B536,Collections!$B:$D,2,FALSE),VLOOKUP(B536,Collections!$B:$D,3,FALSE)*10.7639),0),"collection not found"))</f>
        <v/>
      </c>
    </row>
    <row r="537">
      <c r="I537" s="10">
        <f>IF(OR(H537="",B537=""),"",IFERROR(ROUND(H537*MAX(VLOOKUP(B537,Collections!$B:$D,2,FALSE),VLOOKUP(B537,Collections!$B:$D,3,FALSE)*10.7639),0),"collection not found"))</f>
        <v/>
      </c>
    </row>
    <row r="538">
      <c r="I538" s="10">
        <f>IF(OR(H538="",B538=""),"",IFERROR(ROUND(H538*MAX(VLOOKUP(B538,Collections!$B:$D,2,FALSE),VLOOKUP(B538,Collections!$B:$D,3,FALSE)*10.7639),0),"collection not found"))</f>
        <v/>
      </c>
    </row>
    <row r="539">
      <c r="I539" s="10">
        <f>IF(OR(H539="",B539=""),"",IFERROR(ROUND(H539*MAX(VLOOKUP(B539,Collections!$B:$D,2,FALSE),VLOOKUP(B539,Collections!$B:$D,3,FALSE)*10.7639),0),"collection not found"))</f>
        <v/>
      </c>
    </row>
    <row r="540">
      <c r="I540" s="10">
        <f>IF(OR(H540="",B540=""),"",IFERROR(ROUND(H540*MAX(VLOOKUP(B540,Collections!$B:$D,2,FALSE),VLOOKUP(B540,Collections!$B:$D,3,FALSE)*10.7639),0),"collection not found"))</f>
        <v/>
      </c>
    </row>
    <row r="541">
      <c r="I541" s="10">
        <f>IF(OR(H541="",B541=""),"",IFERROR(ROUND(H541*MAX(VLOOKUP(B541,Collections!$B:$D,2,FALSE),VLOOKUP(B541,Collections!$B:$D,3,FALSE)*10.7639),0),"collection not found"))</f>
        <v/>
      </c>
    </row>
    <row r="542">
      <c r="I542" s="10">
        <f>IF(OR(H542="",B542=""),"",IFERROR(ROUND(H542*MAX(VLOOKUP(B542,Collections!$B:$D,2,FALSE),VLOOKUP(B542,Collections!$B:$D,3,FALSE)*10.7639),0),"collection not found"))</f>
        <v/>
      </c>
    </row>
    <row r="543">
      <c r="I543" s="10">
        <f>IF(OR(H543="",B543=""),"",IFERROR(ROUND(H543*MAX(VLOOKUP(B543,Collections!$B:$D,2,FALSE),VLOOKUP(B543,Collections!$B:$D,3,FALSE)*10.7639),0),"collection not found"))</f>
        <v/>
      </c>
    </row>
    <row r="544">
      <c r="I544" s="10">
        <f>IF(OR(H544="",B544=""),"",IFERROR(ROUND(H544*MAX(VLOOKUP(B544,Collections!$B:$D,2,FALSE),VLOOKUP(B544,Collections!$B:$D,3,FALSE)*10.7639),0),"collection not found"))</f>
        <v/>
      </c>
    </row>
    <row r="545">
      <c r="I545" s="10">
        <f>IF(OR(H545="",B545=""),"",IFERROR(ROUND(H545*MAX(VLOOKUP(B545,Collections!$B:$D,2,FALSE),VLOOKUP(B545,Collections!$B:$D,3,FALSE)*10.7639),0),"collection not found"))</f>
        <v/>
      </c>
    </row>
    <row r="546">
      <c r="I546" s="10">
        <f>IF(OR(H546="",B546=""),"",IFERROR(ROUND(H546*MAX(VLOOKUP(B546,Collections!$B:$D,2,FALSE),VLOOKUP(B546,Collections!$B:$D,3,FALSE)*10.7639),0),"collection not found"))</f>
        <v/>
      </c>
    </row>
    <row r="547">
      <c r="I547" s="10">
        <f>IF(OR(H547="",B547=""),"",IFERROR(ROUND(H547*MAX(VLOOKUP(B547,Collections!$B:$D,2,FALSE),VLOOKUP(B547,Collections!$B:$D,3,FALSE)*10.7639),0),"collection not found"))</f>
        <v/>
      </c>
    </row>
    <row r="548">
      <c r="I548" s="10">
        <f>IF(OR(H548="",B548=""),"",IFERROR(ROUND(H548*MAX(VLOOKUP(B548,Collections!$B:$D,2,FALSE),VLOOKUP(B548,Collections!$B:$D,3,FALSE)*10.7639),0),"collection not found"))</f>
        <v/>
      </c>
    </row>
    <row r="549">
      <c r="I549" s="10">
        <f>IF(OR(H549="",B549=""),"",IFERROR(ROUND(H549*MAX(VLOOKUP(B549,Collections!$B:$D,2,FALSE),VLOOKUP(B549,Collections!$B:$D,3,FALSE)*10.7639),0),"collection not found"))</f>
        <v/>
      </c>
    </row>
    <row r="550">
      <c r="I550" s="10">
        <f>IF(OR(H550="",B550=""),"",IFERROR(ROUND(H550*MAX(VLOOKUP(B550,Collections!$B:$D,2,FALSE),VLOOKUP(B550,Collections!$B:$D,3,FALSE)*10.7639),0),"collection not found"))</f>
        <v/>
      </c>
    </row>
    <row r="551">
      <c r="I551" s="10">
        <f>IF(OR(H551="",B551=""),"",IFERROR(ROUND(H551*MAX(VLOOKUP(B551,Collections!$B:$D,2,FALSE),VLOOKUP(B551,Collections!$B:$D,3,FALSE)*10.7639),0),"collection not found"))</f>
        <v/>
      </c>
    </row>
    <row r="552">
      <c r="I552" s="10">
        <f>IF(OR(H552="",B552=""),"",IFERROR(ROUND(H552*MAX(VLOOKUP(B552,Collections!$B:$D,2,FALSE),VLOOKUP(B552,Collections!$B:$D,3,FALSE)*10.7639),0),"collection not found"))</f>
        <v/>
      </c>
    </row>
    <row r="553">
      <c r="I553" s="10">
        <f>IF(OR(H553="",B553=""),"",IFERROR(ROUND(H553*MAX(VLOOKUP(B553,Collections!$B:$D,2,FALSE),VLOOKUP(B553,Collections!$B:$D,3,FALSE)*10.7639),0),"collection not found"))</f>
        <v/>
      </c>
    </row>
    <row r="554">
      <c r="I554" s="10">
        <f>IF(OR(H554="",B554=""),"",IFERROR(ROUND(H554*MAX(VLOOKUP(B554,Collections!$B:$D,2,FALSE),VLOOKUP(B554,Collections!$B:$D,3,FALSE)*10.7639),0),"collection not found"))</f>
        <v/>
      </c>
    </row>
    <row r="555">
      <c r="I555" s="10">
        <f>IF(OR(H555="",B555=""),"",IFERROR(ROUND(H555*MAX(VLOOKUP(B555,Collections!$B:$D,2,FALSE),VLOOKUP(B555,Collections!$B:$D,3,FALSE)*10.7639),0),"collection not found"))</f>
        <v/>
      </c>
    </row>
    <row r="556">
      <c r="I556" s="10">
        <f>IF(OR(H556="",B556=""),"",IFERROR(ROUND(H556*MAX(VLOOKUP(B556,Collections!$B:$D,2,FALSE),VLOOKUP(B556,Collections!$B:$D,3,FALSE)*10.7639),0),"collection not found"))</f>
        <v/>
      </c>
    </row>
    <row r="557">
      <c r="I557" s="10">
        <f>IF(OR(H557="",B557=""),"",IFERROR(ROUND(H557*MAX(VLOOKUP(B557,Collections!$B:$D,2,FALSE),VLOOKUP(B557,Collections!$B:$D,3,FALSE)*10.7639),0),"collection not found"))</f>
        <v/>
      </c>
    </row>
    <row r="558">
      <c r="I558" s="10">
        <f>IF(OR(H558="",B558=""),"",IFERROR(ROUND(H558*MAX(VLOOKUP(B558,Collections!$B:$D,2,FALSE),VLOOKUP(B558,Collections!$B:$D,3,FALSE)*10.7639),0),"collection not found"))</f>
        <v/>
      </c>
    </row>
    <row r="559">
      <c r="I559" s="10">
        <f>IF(OR(H559="",B559=""),"",IFERROR(ROUND(H559*MAX(VLOOKUP(B559,Collections!$B:$D,2,FALSE),VLOOKUP(B559,Collections!$B:$D,3,FALSE)*10.7639),0),"collection not found"))</f>
        <v/>
      </c>
    </row>
    <row r="560">
      <c r="I560" s="10">
        <f>IF(OR(H560="",B560=""),"",IFERROR(ROUND(H560*MAX(VLOOKUP(B560,Collections!$B:$D,2,FALSE),VLOOKUP(B560,Collections!$B:$D,3,FALSE)*10.7639),0),"collection not found"))</f>
        <v/>
      </c>
    </row>
    <row r="561">
      <c r="I561" s="10">
        <f>IF(OR(H561="",B561=""),"",IFERROR(ROUND(H561*MAX(VLOOKUP(B561,Collections!$B:$D,2,FALSE),VLOOKUP(B561,Collections!$B:$D,3,FALSE)*10.7639),0),"collection not found"))</f>
        <v/>
      </c>
    </row>
    <row r="562">
      <c r="I562" s="10">
        <f>IF(OR(H562="",B562=""),"",IFERROR(ROUND(H562*MAX(VLOOKUP(B562,Collections!$B:$D,2,FALSE),VLOOKUP(B562,Collections!$B:$D,3,FALSE)*10.7639),0),"collection not found"))</f>
        <v/>
      </c>
    </row>
    <row r="563">
      <c r="I563" s="10">
        <f>IF(OR(H563="",B563=""),"",IFERROR(ROUND(H563*MAX(VLOOKUP(B563,Collections!$B:$D,2,FALSE),VLOOKUP(B563,Collections!$B:$D,3,FALSE)*10.7639),0),"collection not found"))</f>
        <v/>
      </c>
    </row>
    <row r="564">
      <c r="I564" s="10">
        <f>IF(OR(H564="",B564=""),"",IFERROR(ROUND(H564*MAX(VLOOKUP(B564,Collections!$B:$D,2,FALSE),VLOOKUP(B564,Collections!$B:$D,3,FALSE)*10.7639),0),"collection not found"))</f>
        <v/>
      </c>
    </row>
    <row r="565">
      <c r="I565" s="10">
        <f>IF(OR(H565="",B565=""),"",IFERROR(ROUND(H565*MAX(VLOOKUP(B565,Collections!$B:$D,2,FALSE),VLOOKUP(B565,Collections!$B:$D,3,FALSE)*10.7639),0),"collection not found"))</f>
        <v/>
      </c>
    </row>
    <row r="566">
      <c r="I566" s="10">
        <f>IF(OR(H566="",B566=""),"",IFERROR(ROUND(H566*MAX(VLOOKUP(B566,Collections!$B:$D,2,FALSE),VLOOKUP(B566,Collections!$B:$D,3,FALSE)*10.7639),0),"collection not found"))</f>
        <v/>
      </c>
    </row>
    <row r="567">
      <c r="I567" s="10">
        <f>IF(OR(H567="",B567=""),"",IFERROR(ROUND(H567*MAX(VLOOKUP(B567,Collections!$B:$D,2,FALSE),VLOOKUP(B567,Collections!$B:$D,3,FALSE)*10.7639),0),"collection not found"))</f>
        <v/>
      </c>
    </row>
    <row r="568">
      <c r="I568" s="10">
        <f>IF(OR(H568="",B568=""),"",IFERROR(ROUND(H568*MAX(VLOOKUP(B568,Collections!$B:$D,2,FALSE),VLOOKUP(B568,Collections!$B:$D,3,FALSE)*10.7639),0),"collection not found"))</f>
        <v/>
      </c>
    </row>
    <row r="569">
      <c r="I569" s="10">
        <f>IF(OR(H569="",B569=""),"",IFERROR(ROUND(H569*MAX(VLOOKUP(B569,Collections!$B:$D,2,FALSE),VLOOKUP(B569,Collections!$B:$D,3,FALSE)*10.7639),0),"collection not found"))</f>
        <v/>
      </c>
    </row>
    <row r="570">
      <c r="I570" s="10">
        <f>IF(OR(H570="",B570=""),"",IFERROR(ROUND(H570*MAX(VLOOKUP(B570,Collections!$B:$D,2,FALSE),VLOOKUP(B570,Collections!$B:$D,3,FALSE)*10.7639),0),"collection not found"))</f>
        <v/>
      </c>
    </row>
    <row r="571">
      <c r="I571" s="10">
        <f>IF(OR(H571="",B571=""),"",IFERROR(ROUND(H571*MAX(VLOOKUP(B571,Collections!$B:$D,2,FALSE),VLOOKUP(B571,Collections!$B:$D,3,FALSE)*10.7639),0),"collection not found"))</f>
        <v/>
      </c>
    </row>
    <row r="572">
      <c r="I572" s="10">
        <f>IF(OR(H572="",B572=""),"",IFERROR(ROUND(H572*MAX(VLOOKUP(B572,Collections!$B:$D,2,FALSE),VLOOKUP(B572,Collections!$B:$D,3,FALSE)*10.7639),0),"collection not found"))</f>
        <v/>
      </c>
    </row>
    <row r="573">
      <c r="I573" s="10">
        <f>IF(OR(H573="",B573=""),"",IFERROR(ROUND(H573*MAX(VLOOKUP(B573,Collections!$B:$D,2,FALSE),VLOOKUP(B573,Collections!$B:$D,3,FALSE)*10.7639),0),"collection not found"))</f>
        <v/>
      </c>
    </row>
    <row r="574">
      <c r="I574" s="10">
        <f>IF(OR(H574="",B574=""),"",IFERROR(ROUND(H574*MAX(VLOOKUP(B574,Collections!$B:$D,2,FALSE),VLOOKUP(B574,Collections!$B:$D,3,FALSE)*10.7639),0),"collection not found"))</f>
        <v/>
      </c>
    </row>
    <row r="575">
      <c r="I575" s="10">
        <f>IF(OR(H575="",B575=""),"",IFERROR(ROUND(H575*MAX(VLOOKUP(B575,Collections!$B:$D,2,FALSE),VLOOKUP(B575,Collections!$B:$D,3,FALSE)*10.7639),0),"collection not found"))</f>
        <v/>
      </c>
    </row>
    <row r="576">
      <c r="I576" s="10">
        <f>IF(OR(H576="",B576=""),"",IFERROR(ROUND(H576*MAX(VLOOKUP(B576,Collections!$B:$D,2,FALSE),VLOOKUP(B576,Collections!$B:$D,3,FALSE)*10.7639),0),"collection not found"))</f>
        <v/>
      </c>
    </row>
    <row r="577">
      <c r="I577" s="10">
        <f>IF(OR(H577="",B577=""),"",IFERROR(ROUND(H577*MAX(VLOOKUP(B577,Collections!$B:$D,2,FALSE),VLOOKUP(B577,Collections!$B:$D,3,FALSE)*10.7639),0),"collection not found"))</f>
        <v/>
      </c>
    </row>
    <row r="578">
      <c r="I578" s="10">
        <f>IF(OR(H578="",B578=""),"",IFERROR(ROUND(H578*MAX(VLOOKUP(B578,Collections!$B:$D,2,FALSE),VLOOKUP(B578,Collections!$B:$D,3,FALSE)*10.7639),0),"collection not found"))</f>
        <v/>
      </c>
    </row>
    <row r="579">
      <c r="I579" s="10">
        <f>IF(OR(H579="",B579=""),"",IFERROR(ROUND(H579*MAX(VLOOKUP(B579,Collections!$B:$D,2,FALSE),VLOOKUP(B579,Collections!$B:$D,3,FALSE)*10.7639),0),"collection not found"))</f>
        <v/>
      </c>
    </row>
    <row r="580">
      <c r="I580" s="10">
        <f>IF(OR(H580="",B580=""),"",IFERROR(ROUND(H580*MAX(VLOOKUP(B580,Collections!$B:$D,2,FALSE),VLOOKUP(B580,Collections!$B:$D,3,FALSE)*10.7639),0),"collection not found"))</f>
        <v/>
      </c>
    </row>
    <row r="581">
      <c r="I581" s="10">
        <f>IF(OR(H581="",B581=""),"",IFERROR(ROUND(H581*MAX(VLOOKUP(B581,Collections!$B:$D,2,FALSE),VLOOKUP(B581,Collections!$B:$D,3,FALSE)*10.7639),0),"collection not found"))</f>
        <v/>
      </c>
    </row>
    <row r="582">
      <c r="I582" s="10">
        <f>IF(OR(H582="",B582=""),"",IFERROR(ROUND(H582*MAX(VLOOKUP(B582,Collections!$B:$D,2,FALSE),VLOOKUP(B582,Collections!$B:$D,3,FALSE)*10.7639),0),"collection not found"))</f>
        <v/>
      </c>
    </row>
    <row r="583">
      <c r="I583" s="10">
        <f>IF(OR(H583="",B583=""),"",IFERROR(ROUND(H583*MAX(VLOOKUP(B583,Collections!$B:$D,2,FALSE),VLOOKUP(B583,Collections!$B:$D,3,FALSE)*10.7639),0),"collection not found"))</f>
        <v/>
      </c>
    </row>
    <row r="584">
      <c r="I584" s="10">
        <f>IF(OR(H584="",B584=""),"",IFERROR(ROUND(H584*MAX(VLOOKUP(B584,Collections!$B:$D,2,FALSE),VLOOKUP(B584,Collections!$B:$D,3,FALSE)*10.7639),0),"collection not found"))</f>
        <v/>
      </c>
    </row>
    <row r="585">
      <c r="I585" s="10">
        <f>IF(OR(H585="",B585=""),"",IFERROR(ROUND(H585*MAX(VLOOKUP(B585,Collections!$B:$D,2,FALSE),VLOOKUP(B585,Collections!$B:$D,3,FALSE)*10.7639),0),"collection not found"))</f>
        <v/>
      </c>
    </row>
    <row r="586">
      <c r="I586" s="10">
        <f>IF(OR(H586="",B586=""),"",IFERROR(ROUND(H586*MAX(VLOOKUP(B586,Collections!$B:$D,2,FALSE),VLOOKUP(B586,Collections!$B:$D,3,FALSE)*10.7639),0),"collection not found"))</f>
        <v/>
      </c>
    </row>
    <row r="587">
      <c r="I587" s="10">
        <f>IF(OR(H587="",B587=""),"",IFERROR(ROUND(H587*MAX(VLOOKUP(B587,Collections!$B:$D,2,FALSE),VLOOKUP(B587,Collections!$B:$D,3,FALSE)*10.7639),0),"collection not found"))</f>
        <v/>
      </c>
    </row>
    <row r="588">
      <c r="I588" s="10">
        <f>IF(OR(H588="",B588=""),"",IFERROR(ROUND(H588*MAX(VLOOKUP(B588,Collections!$B:$D,2,FALSE),VLOOKUP(B588,Collections!$B:$D,3,FALSE)*10.7639),0),"collection not found"))</f>
        <v/>
      </c>
    </row>
    <row r="589">
      <c r="I589" s="10">
        <f>IF(OR(H589="",B589=""),"",IFERROR(ROUND(H589*MAX(VLOOKUP(B589,Collections!$B:$D,2,FALSE),VLOOKUP(B589,Collections!$B:$D,3,FALSE)*10.7639),0),"collection not found"))</f>
        <v/>
      </c>
    </row>
    <row r="590">
      <c r="I590" s="10">
        <f>IF(OR(H590="",B590=""),"",IFERROR(ROUND(H590*MAX(VLOOKUP(B590,Collections!$B:$D,2,FALSE),VLOOKUP(B590,Collections!$B:$D,3,FALSE)*10.7639),0),"collection not found"))</f>
        <v/>
      </c>
    </row>
    <row r="591">
      <c r="I591" s="10">
        <f>IF(OR(H591="",B591=""),"",IFERROR(ROUND(H591*MAX(VLOOKUP(B591,Collections!$B:$D,2,FALSE),VLOOKUP(B591,Collections!$B:$D,3,FALSE)*10.7639),0),"collection not found"))</f>
        <v/>
      </c>
    </row>
    <row r="592">
      <c r="I592" s="10">
        <f>IF(OR(H592="",B592=""),"",IFERROR(ROUND(H592*MAX(VLOOKUP(B592,Collections!$B:$D,2,FALSE),VLOOKUP(B592,Collections!$B:$D,3,FALSE)*10.7639),0),"collection not found"))</f>
        <v/>
      </c>
    </row>
    <row r="593">
      <c r="I593" s="10">
        <f>IF(OR(H593="",B593=""),"",IFERROR(ROUND(H593*MAX(VLOOKUP(B593,Collections!$B:$D,2,FALSE),VLOOKUP(B593,Collections!$B:$D,3,FALSE)*10.7639),0),"collection not found"))</f>
        <v/>
      </c>
    </row>
    <row r="594">
      <c r="I594" s="10">
        <f>IF(OR(H594="",B594=""),"",IFERROR(ROUND(H594*MAX(VLOOKUP(B594,Collections!$B:$D,2,FALSE),VLOOKUP(B594,Collections!$B:$D,3,FALSE)*10.7639),0),"collection not found"))</f>
        <v/>
      </c>
    </row>
    <row r="595">
      <c r="I595" s="10">
        <f>IF(OR(H595="",B595=""),"",IFERROR(ROUND(H595*MAX(VLOOKUP(B595,Collections!$B:$D,2,FALSE),VLOOKUP(B595,Collections!$B:$D,3,FALSE)*10.7639),0),"collection not found"))</f>
        <v/>
      </c>
    </row>
    <row r="596">
      <c r="I596" s="10">
        <f>IF(OR(H596="",B596=""),"",IFERROR(ROUND(H596*MAX(VLOOKUP(B596,Collections!$B:$D,2,FALSE),VLOOKUP(B596,Collections!$B:$D,3,FALSE)*10.7639),0),"collection not found"))</f>
        <v/>
      </c>
    </row>
    <row r="597">
      <c r="I597" s="10">
        <f>IF(OR(H597="",B597=""),"",IFERROR(ROUND(H597*MAX(VLOOKUP(B597,Collections!$B:$D,2,FALSE),VLOOKUP(B597,Collections!$B:$D,3,FALSE)*10.7639),0),"collection not found"))</f>
        <v/>
      </c>
    </row>
    <row r="598">
      <c r="I598" s="10">
        <f>IF(OR(H598="",B598=""),"",IFERROR(ROUND(H598*MAX(VLOOKUP(B598,Collections!$B:$D,2,FALSE),VLOOKUP(B598,Collections!$B:$D,3,FALSE)*10.7639),0),"collection not found"))</f>
        <v/>
      </c>
    </row>
    <row r="599">
      <c r="I599" s="10">
        <f>IF(OR(H599="",B599=""),"",IFERROR(ROUND(H599*MAX(VLOOKUP(B599,Collections!$B:$D,2,FALSE),VLOOKUP(B599,Collections!$B:$D,3,FALSE)*10.7639),0),"collection not found"))</f>
        <v/>
      </c>
    </row>
    <row r="600">
      <c r="I600" s="10">
        <f>IF(OR(H600="",B600=""),"",IFERROR(ROUND(H600*MAX(VLOOKUP(B600,Collections!$B:$D,2,FALSE),VLOOKUP(B600,Collections!$B:$D,3,FALSE)*10.7639),0),"collection not found"))</f>
        <v/>
      </c>
    </row>
    <row r="601">
      <c r="I601" s="10">
        <f>IF(OR(H601="",B601=""),"",IFERROR(ROUND(H601*MAX(VLOOKUP(B601,Collections!$B:$D,2,FALSE),VLOOKUP(B601,Collections!$B:$D,3,FALSE)*10.7639),0),"collection not found"))</f>
        <v/>
      </c>
    </row>
    <row r="602">
      <c r="I602" s="10">
        <f>IF(OR(H602="",B602=""),"",IFERROR(ROUND(H602*MAX(VLOOKUP(B602,Collections!$B:$D,2,FALSE),VLOOKUP(B602,Collections!$B:$D,3,FALSE)*10.7639),0),"collection not found"))</f>
        <v/>
      </c>
    </row>
    <row r="603">
      <c r="I603" s="10">
        <f>IF(OR(H603="",B603=""),"",IFERROR(ROUND(H603*MAX(VLOOKUP(B603,Collections!$B:$D,2,FALSE),VLOOKUP(B603,Collections!$B:$D,3,FALSE)*10.7639),0),"collection not found"))</f>
        <v/>
      </c>
    </row>
    <row r="604">
      <c r="I604" s="10">
        <f>IF(OR(H604="",B604=""),"",IFERROR(ROUND(H604*MAX(VLOOKUP(B604,Collections!$B:$D,2,FALSE),VLOOKUP(B604,Collections!$B:$D,3,FALSE)*10.7639),0),"collection not found"))</f>
        <v/>
      </c>
    </row>
    <row r="605">
      <c r="I605" s="10">
        <f>IF(OR(H605="",B605=""),"",IFERROR(ROUND(H605*MAX(VLOOKUP(B605,Collections!$B:$D,2,FALSE),VLOOKUP(B605,Collections!$B:$D,3,FALSE)*10.7639),0),"collection not found"))</f>
        <v/>
      </c>
    </row>
    <row r="606">
      <c r="I606" s="10">
        <f>IF(OR(H606="",B606=""),"",IFERROR(ROUND(H606*MAX(VLOOKUP(B606,Collections!$B:$D,2,FALSE),VLOOKUP(B606,Collections!$B:$D,3,FALSE)*10.7639),0),"collection not found"))</f>
        <v/>
      </c>
    </row>
    <row r="607">
      <c r="I607" s="10">
        <f>IF(OR(H607="",B607=""),"",IFERROR(ROUND(H607*MAX(VLOOKUP(B607,Collections!$B:$D,2,FALSE),VLOOKUP(B607,Collections!$B:$D,3,FALSE)*10.7639),0),"collection not found"))</f>
        <v/>
      </c>
    </row>
    <row r="608">
      <c r="I608" s="10">
        <f>IF(OR(H608="",B608=""),"",IFERROR(ROUND(H608*MAX(VLOOKUP(B608,Collections!$B:$D,2,FALSE),VLOOKUP(B608,Collections!$B:$D,3,FALSE)*10.7639),0),"collection not found"))</f>
        <v/>
      </c>
    </row>
    <row r="609">
      <c r="I609" s="10">
        <f>IF(OR(H609="",B609=""),"",IFERROR(ROUND(H609*MAX(VLOOKUP(B609,Collections!$B:$D,2,FALSE),VLOOKUP(B609,Collections!$B:$D,3,FALSE)*10.7639),0),"collection not found"))</f>
        <v/>
      </c>
    </row>
    <row r="610">
      <c r="I610" s="10">
        <f>IF(OR(H610="",B610=""),"",IFERROR(ROUND(H610*MAX(VLOOKUP(B610,Collections!$B:$D,2,FALSE),VLOOKUP(B610,Collections!$B:$D,3,FALSE)*10.7639),0),"collection not found"))</f>
        <v/>
      </c>
    </row>
    <row r="611">
      <c r="I611" s="10">
        <f>IF(OR(H611="",B611=""),"",IFERROR(ROUND(H611*MAX(VLOOKUP(B611,Collections!$B:$D,2,FALSE),VLOOKUP(B611,Collections!$B:$D,3,FALSE)*10.7639),0),"collection not found"))</f>
        <v/>
      </c>
    </row>
    <row r="612">
      <c r="I612" s="10">
        <f>IF(OR(H612="",B612=""),"",IFERROR(ROUND(H612*MAX(VLOOKUP(B612,Collections!$B:$D,2,FALSE),VLOOKUP(B612,Collections!$B:$D,3,FALSE)*10.7639),0),"collection not found"))</f>
        <v/>
      </c>
    </row>
    <row r="613">
      <c r="I613" s="10">
        <f>IF(OR(H613="",B613=""),"",IFERROR(ROUND(H613*MAX(VLOOKUP(B613,Collections!$B:$D,2,FALSE),VLOOKUP(B613,Collections!$B:$D,3,FALSE)*10.7639),0),"collection not found"))</f>
        <v/>
      </c>
    </row>
    <row r="614">
      <c r="I614" s="10">
        <f>IF(OR(H614="",B614=""),"",IFERROR(ROUND(H614*MAX(VLOOKUP(B614,Collections!$B:$D,2,FALSE),VLOOKUP(B614,Collections!$B:$D,3,FALSE)*10.7639),0),"collection not found"))</f>
        <v/>
      </c>
    </row>
    <row r="615">
      <c r="I615" s="10">
        <f>IF(OR(H615="",B615=""),"",IFERROR(ROUND(H615*MAX(VLOOKUP(B615,Collections!$B:$D,2,FALSE),VLOOKUP(B615,Collections!$B:$D,3,FALSE)*10.7639),0),"collection not found"))</f>
        <v/>
      </c>
    </row>
    <row r="616">
      <c r="I616" s="10">
        <f>IF(OR(H616="",B616=""),"",IFERROR(ROUND(H616*MAX(VLOOKUP(B616,Collections!$B:$D,2,FALSE),VLOOKUP(B616,Collections!$B:$D,3,FALSE)*10.7639),0),"collection not found"))</f>
        <v/>
      </c>
    </row>
    <row r="617">
      <c r="I617" s="10">
        <f>IF(OR(H617="",B617=""),"",IFERROR(ROUND(H617*MAX(VLOOKUP(B617,Collections!$B:$D,2,FALSE),VLOOKUP(B617,Collections!$B:$D,3,FALSE)*10.7639),0),"collection not found"))</f>
        <v/>
      </c>
    </row>
    <row r="618">
      <c r="I618" s="10">
        <f>IF(OR(H618="",B618=""),"",IFERROR(ROUND(H618*MAX(VLOOKUP(B618,Collections!$B:$D,2,FALSE),VLOOKUP(B618,Collections!$B:$D,3,FALSE)*10.7639),0),"collection not found"))</f>
        <v/>
      </c>
    </row>
    <row r="619">
      <c r="I619" s="10">
        <f>IF(OR(H619="",B619=""),"",IFERROR(ROUND(H619*MAX(VLOOKUP(B619,Collections!$B:$D,2,FALSE),VLOOKUP(B619,Collections!$B:$D,3,FALSE)*10.7639),0),"collection not found"))</f>
        <v/>
      </c>
    </row>
    <row r="620">
      <c r="I620" s="10">
        <f>IF(OR(H620="",B620=""),"",IFERROR(ROUND(H620*MAX(VLOOKUP(B620,Collections!$B:$D,2,FALSE),VLOOKUP(B620,Collections!$B:$D,3,FALSE)*10.7639),0),"collection not found"))</f>
        <v/>
      </c>
    </row>
    <row r="621">
      <c r="I621" s="10">
        <f>IF(OR(H621="",B621=""),"",IFERROR(ROUND(H621*MAX(VLOOKUP(B621,Collections!$B:$D,2,FALSE),VLOOKUP(B621,Collections!$B:$D,3,FALSE)*10.7639),0),"collection not found"))</f>
        <v/>
      </c>
    </row>
    <row r="622">
      <c r="I622" s="10">
        <f>IF(OR(H622="",B622=""),"",IFERROR(ROUND(H622*MAX(VLOOKUP(B622,Collections!$B:$D,2,FALSE),VLOOKUP(B622,Collections!$B:$D,3,FALSE)*10.7639),0),"collection not found"))</f>
        <v/>
      </c>
    </row>
    <row r="623">
      <c r="I623" s="10">
        <f>IF(OR(H623="",B623=""),"",IFERROR(ROUND(H623*MAX(VLOOKUP(B623,Collections!$B:$D,2,FALSE),VLOOKUP(B623,Collections!$B:$D,3,FALSE)*10.7639),0),"collection not found"))</f>
        <v/>
      </c>
    </row>
    <row r="624">
      <c r="I624" s="10">
        <f>IF(OR(H624="",B624=""),"",IFERROR(ROUND(H624*MAX(VLOOKUP(B624,Collections!$B:$D,2,FALSE),VLOOKUP(B624,Collections!$B:$D,3,FALSE)*10.7639),0),"collection not found"))</f>
        <v/>
      </c>
    </row>
    <row r="625">
      <c r="I625" s="10">
        <f>IF(OR(H625="",B625=""),"",IFERROR(ROUND(H625*MAX(VLOOKUP(B625,Collections!$B:$D,2,FALSE),VLOOKUP(B625,Collections!$B:$D,3,FALSE)*10.7639),0),"collection not found"))</f>
        <v/>
      </c>
    </row>
    <row r="626">
      <c r="I626" s="10">
        <f>IF(OR(H626="",B626=""),"",IFERROR(ROUND(H626*MAX(VLOOKUP(B626,Collections!$B:$D,2,FALSE),VLOOKUP(B626,Collections!$B:$D,3,FALSE)*10.7639),0),"collection not found"))</f>
        <v/>
      </c>
    </row>
    <row r="627">
      <c r="I627" s="10">
        <f>IF(OR(H627="",B627=""),"",IFERROR(ROUND(H627*MAX(VLOOKUP(B627,Collections!$B:$D,2,FALSE),VLOOKUP(B627,Collections!$B:$D,3,FALSE)*10.7639),0),"collection not found"))</f>
        <v/>
      </c>
    </row>
    <row r="628">
      <c r="I628" s="10">
        <f>IF(OR(H628="",B628=""),"",IFERROR(ROUND(H628*MAX(VLOOKUP(B628,Collections!$B:$D,2,FALSE),VLOOKUP(B628,Collections!$B:$D,3,FALSE)*10.7639),0),"collection not found"))</f>
        <v/>
      </c>
    </row>
    <row r="629">
      <c r="I629" s="10">
        <f>IF(OR(H629="",B629=""),"",IFERROR(ROUND(H629*MAX(VLOOKUP(B629,Collections!$B:$D,2,FALSE),VLOOKUP(B629,Collections!$B:$D,3,FALSE)*10.7639),0),"collection not found"))</f>
        <v/>
      </c>
    </row>
    <row r="630">
      <c r="I630" s="10">
        <f>IF(OR(H630="",B630=""),"",IFERROR(ROUND(H630*MAX(VLOOKUP(B630,Collections!$B:$D,2,FALSE),VLOOKUP(B630,Collections!$B:$D,3,FALSE)*10.7639),0),"collection not found"))</f>
        <v/>
      </c>
    </row>
    <row r="631">
      <c r="I631" s="10">
        <f>IF(OR(H631="",B631=""),"",IFERROR(ROUND(H631*MAX(VLOOKUP(B631,Collections!$B:$D,2,FALSE),VLOOKUP(B631,Collections!$B:$D,3,FALSE)*10.7639),0),"collection not found"))</f>
        <v/>
      </c>
    </row>
    <row r="632">
      <c r="I632" s="10">
        <f>IF(OR(H632="",B632=""),"",IFERROR(ROUND(H632*MAX(VLOOKUP(B632,Collections!$B:$D,2,FALSE),VLOOKUP(B632,Collections!$B:$D,3,FALSE)*10.7639),0),"collection not found"))</f>
        <v/>
      </c>
    </row>
    <row r="633">
      <c r="I633" s="10">
        <f>IF(OR(H633="",B633=""),"",IFERROR(ROUND(H633*MAX(VLOOKUP(B633,Collections!$B:$D,2,FALSE),VLOOKUP(B633,Collections!$B:$D,3,FALSE)*10.7639),0),"collection not found"))</f>
        <v/>
      </c>
    </row>
    <row r="634">
      <c r="I634" s="10">
        <f>IF(OR(H634="",B634=""),"",IFERROR(ROUND(H634*MAX(VLOOKUP(B634,Collections!$B:$D,2,FALSE),VLOOKUP(B634,Collections!$B:$D,3,FALSE)*10.7639),0),"collection not found"))</f>
        <v/>
      </c>
    </row>
    <row r="635">
      <c r="I635" s="10">
        <f>IF(OR(H635="",B635=""),"",IFERROR(ROUND(H635*MAX(VLOOKUP(B635,Collections!$B:$D,2,FALSE),VLOOKUP(B635,Collections!$B:$D,3,FALSE)*10.7639),0),"collection not found"))</f>
        <v/>
      </c>
    </row>
    <row r="636">
      <c r="I636" s="10">
        <f>IF(OR(H636="",B636=""),"",IFERROR(ROUND(H636*MAX(VLOOKUP(B636,Collections!$B:$D,2,FALSE),VLOOKUP(B636,Collections!$B:$D,3,FALSE)*10.7639),0),"collection not found"))</f>
        <v/>
      </c>
    </row>
    <row r="637">
      <c r="I637" s="10">
        <f>IF(OR(H637="",B637=""),"",IFERROR(ROUND(H637*MAX(VLOOKUP(B637,Collections!$B:$D,2,FALSE),VLOOKUP(B637,Collections!$B:$D,3,FALSE)*10.7639),0),"collection not found"))</f>
        <v/>
      </c>
    </row>
    <row r="638">
      <c r="I638" s="10">
        <f>IF(OR(H638="",B638=""),"",IFERROR(ROUND(H638*MAX(VLOOKUP(B638,Collections!$B:$D,2,FALSE),VLOOKUP(B638,Collections!$B:$D,3,FALSE)*10.7639),0),"collection not found"))</f>
        <v/>
      </c>
    </row>
    <row r="639">
      <c r="I639" s="10">
        <f>IF(OR(H639="",B639=""),"",IFERROR(ROUND(H639*MAX(VLOOKUP(B639,Collections!$B:$D,2,FALSE),VLOOKUP(B639,Collections!$B:$D,3,FALSE)*10.7639),0),"collection not found"))</f>
        <v/>
      </c>
    </row>
    <row r="640">
      <c r="I640" s="10">
        <f>IF(OR(H640="",B640=""),"",IFERROR(ROUND(H640*MAX(VLOOKUP(B640,Collections!$B:$D,2,FALSE),VLOOKUP(B640,Collections!$B:$D,3,FALSE)*10.7639),0),"collection not found"))</f>
        <v/>
      </c>
    </row>
    <row r="641">
      <c r="I641" s="10">
        <f>IF(OR(H641="",B641=""),"",IFERROR(ROUND(H641*MAX(VLOOKUP(B641,Collections!$B:$D,2,FALSE),VLOOKUP(B641,Collections!$B:$D,3,FALSE)*10.7639),0),"collection not found"))</f>
        <v/>
      </c>
    </row>
    <row r="642">
      <c r="I642" s="10">
        <f>IF(OR(H642="",B642=""),"",IFERROR(ROUND(H642*MAX(VLOOKUP(B642,Collections!$B:$D,2,FALSE),VLOOKUP(B642,Collections!$B:$D,3,FALSE)*10.7639),0),"collection not found"))</f>
        <v/>
      </c>
    </row>
    <row r="643">
      <c r="I643" s="10">
        <f>IF(OR(H643="",B643=""),"",IFERROR(ROUND(H643*MAX(VLOOKUP(B643,Collections!$B:$D,2,FALSE),VLOOKUP(B643,Collections!$B:$D,3,FALSE)*10.7639),0),"collection not found"))</f>
        <v/>
      </c>
    </row>
    <row r="644">
      <c r="I644" s="10">
        <f>IF(OR(H644="",B644=""),"",IFERROR(ROUND(H644*MAX(VLOOKUP(B644,Collections!$B:$D,2,FALSE),VLOOKUP(B644,Collections!$B:$D,3,FALSE)*10.7639),0),"collection not found"))</f>
        <v/>
      </c>
    </row>
    <row r="645">
      <c r="I645" s="10">
        <f>IF(OR(H645="",B645=""),"",IFERROR(ROUND(H645*MAX(VLOOKUP(B645,Collections!$B:$D,2,FALSE),VLOOKUP(B645,Collections!$B:$D,3,FALSE)*10.7639),0),"collection not found"))</f>
        <v/>
      </c>
    </row>
    <row r="646">
      <c r="I646" s="10">
        <f>IF(OR(H646="",B646=""),"",IFERROR(ROUND(H646*MAX(VLOOKUP(B646,Collections!$B:$D,2,FALSE),VLOOKUP(B646,Collections!$B:$D,3,FALSE)*10.7639),0),"collection not found"))</f>
        <v/>
      </c>
    </row>
    <row r="647">
      <c r="I647" s="10">
        <f>IF(OR(H647="",B647=""),"",IFERROR(ROUND(H647*MAX(VLOOKUP(B647,Collections!$B:$D,2,FALSE),VLOOKUP(B647,Collections!$B:$D,3,FALSE)*10.7639),0),"collection not found"))</f>
        <v/>
      </c>
    </row>
    <row r="648">
      <c r="I648" s="10">
        <f>IF(OR(H648="",B648=""),"",IFERROR(ROUND(H648*MAX(VLOOKUP(B648,Collections!$B:$D,2,FALSE),VLOOKUP(B648,Collections!$B:$D,3,FALSE)*10.7639),0),"collection not found"))</f>
        <v/>
      </c>
    </row>
    <row r="649">
      <c r="I649" s="10">
        <f>IF(OR(H649="",B649=""),"",IFERROR(ROUND(H649*MAX(VLOOKUP(B649,Collections!$B:$D,2,FALSE),VLOOKUP(B649,Collections!$B:$D,3,FALSE)*10.7639),0),"collection not found"))</f>
        <v/>
      </c>
    </row>
    <row r="650">
      <c r="I650" s="10">
        <f>IF(OR(H650="",B650=""),"",IFERROR(ROUND(H650*MAX(VLOOKUP(B650,Collections!$B:$D,2,FALSE),VLOOKUP(B650,Collections!$B:$D,3,FALSE)*10.7639),0),"collection not found"))</f>
        <v/>
      </c>
    </row>
    <row r="651">
      <c r="I651" s="10">
        <f>IF(OR(H651="",B651=""),"",IFERROR(ROUND(H651*MAX(VLOOKUP(B651,Collections!$B:$D,2,FALSE),VLOOKUP(B651,Collections!$B:$D,3,FALSE)*10.7639),0),"collection not found"))</f>
        <v/>
      </c>
    </row>
    <row r="652">
      <c r="I652" s="10">
        <f>IF(OR(H652="",B652=""),"",IFERROR(ROUND(H652*MAX(VLOOKUP(B652,Collections!$B:$D,2,FALSE),VLOOKUP(B652,Collections!$B:$D,3,FALSE)*10.7639),0),"collection not found"))</f>
        <v/>
      </c>
    </row>
    <row r="653">
      <c r="I653" s="10">
        <f>IF(OR(H653="",B653=""),"",IFERROR(ROUND(H653*MAX(VLOOKUP(B653,Collections!$B:$D,2,FALSE),VLOOKUP(B653,Collections!$B:$D,3,FALSE)*10.7639),0),"collection not found"))</f>
        <v/>
      </c>
    </row>
    <row r="654">
      <c r="I654" s="10">
        <f>IF(OR(H654="",B654=""),"",IFERROR(ROUND(H654*MAX(VLOOKUP(B654,Collections!$B:$D,2,FALSE),VLOOKUP(B654,Collections!$B:$D,3,FALSE)*10.7639),0),"collection not found"))</f>
        <v/>
      </c>
    </row>
    <row r="655">
      <c r="I655" s="10">
        <f>IF(OR(H655="",B655=""),"",IFERROR(ROUND(H655*MAX(VLOOKUP(B655,Collections!$B:$D,2,FALSE),VLOOKUP(B655,Collections!$B:$D,3,FALSE)*10.7639),0),"collection not found"))</f>
        <v/>
      </c>
    </row>
    <row r="656">
      <c r="I656" s="10">
        <f>IF(OR(H656="",B656=""),"",IFERROR(ROUND(H656*MAX(VLOOKUP(B656,Collections!$B:$D,2,FALSE),VLOOKUP(B656,Collections!$B:$D,3,FALSE)*10.7639),0),"collection not found"))</f>
        <v/>
      </c>
    </row>
    <row r="657">
      <c r="I657" s="10">
        <f>IF(OR(H657="",B657=""),"",IFERROR(ROUND(H657*MAX(VLOOKUP(B657,Collections!$B:$D,2,FALSE),VLOOKUP(B657,Collections!$B:$D,3,FALSE)*10.7639),0),"collection not found"))</f>
        <v/>
      </c>
    </row>
    <row r="658">
      <c r="I658" s="10">
        <f>IF(OR(H658="",B658=""),"",IFERROR(ROUND(H658*MAX(VLOOKUP(B658,Collections!$B:$D,2,FALSE),VLOOKUP(B658,Collections!$B:$D,3,FALSE)*10.7639),0),"collection not found"))</f>
        <v/>
      </c>
    </row>
    <row r="659">
      <c r="I659" s="10">
        <f>IF(OR(H659="",B659=""),"",IFERROR(ROUND(H659*MAX(VLOOKUP(B659,Collections!$B:$D,2,FALSE),VLOOKUP(B659,Collections!$B:$D,3,FALSE)*10.7639),0),"collection not found"))</f>
        <v/>
      </c>
    </row>
    <row r="660">
      <c r="I660" s="10">
        <f>IF(OR(H660="",B660=""),"",IFERROR(ROUND(H660*MAX(VLOOKUP(B660,Collections!$B:$D,2,FALSE),VLOOKUP(B660,Collections!$B:$D,3,FALSE)*10.7639),0),"collection not found"))</f>
        <v/>
      </c>
    </row>
    <row r="661">
      <c r="I661" s="10">
        <f>IF(OR(H661="",B661=""),"",IFERROR(ROUND(H661*MAX(VLOOKUP(B661,Collections!$B:$D,2,FALSE),VLOOKUP(B661,Collections!$B:$D,3,FALSE)*10.7639),0),"collection not found"))</f>
        <v/>
      </c>
    </row>
    <row r="662">
      <c r="I662" s="10">
        <f>IF(OR(H662="",B662=""),"",IFERROR(ROUND(H662*MAX(VLOOKUP(B662,Collections!$B:$D,2,FALSE),VLOOKUP(B662,Collections!$B:$D,3,FALSE)*10.7639),0),"collection not found"))</f>
        <v/>
      </c>
    </row>
    <row r="663">
      <c r="I663" s="10">
        <f>IF(OR(H663="",B663=""),"",IFERROR(ROUND(H663*MAX(VLOOKUP(B663,Collections!$B:$D,2,FALSE),VLOOKUP(B663,Collections!$B:$D,3,FALSE)*10.7639),0),"collection not found"))</f>
        <v/>
      </c>
    </row>
    <row r="664">
      <c r="I664" s="10">
        <f>IF(OR(H664="",B664=""),"",IFERROR(ROUND(H664*MAX(VLOOKUP(B664,Collections!$B:$D,2,FALSE),VLOOKUP(B664,Collections!$B:$D,3,FALSE)*10.7639),0),"collection not found"))</f>
        <v/>
      </c>
    </row>
    <row r="665">
      <c r="I665" s="10">
        <f>IF(OR(H665="",B665=""),"",IFERROR(ROUND(H665*MAX(VLOOKUP(B665,Collections!$B:$D,2,FALSE),VLOOKUP(B665,Collections!$B:$D,3,FALSE)*10.7639),0),"collection not found"))</f>
        <v/>
      </c>
    </row>
    <row r="666">
      <c r="I666" s="10">
        <f>IF(OR(H666="",B666=""),"",IFERROR(ROUND(H666*MAX(VLOOKUP(B666,Collections!$B:$D,2,FALSE),VLOOKUP(B666,Collections!$B:$D,3,FALSE)*10.7639),0),"collection not found"))</f>
        <v/>
      </c>
    </row>
    <row r="667">
      <c r="I667" s="10">
        <f>IF(OR(H667="",B667=""),"",IFERROR(ROUND(H667*MAX(VLOOKUP(B667,Collections!$B:$D,2,FALSE),VLOOKUP(B667,Collections!$B:$D,3,FALSE)*10.7639),0),"collection not found"))</f>
        <v/>
      </c>
    </row>
    <row r="668">
      <c r="I668" s="10">
        <f>IF(OR(H668="",B668=""),"",IFERROR(ROUND(H668*MAX(VLOOKUP(B668,Collections!$B:$D,2,FALSE),VLOOKUP(B668,Collections!$B:$D,3,FALSE)*10.7639),0),"collection not found"))</f>
        <v/>
      </c>
    </row>
    <row r="669">
      <c r="I669" s="10">
        <f>IF(OR(H669="",B669=""),"",IFERROR(ROUND(H669*MAX(VLOOKUP(B669,Collections!$B:$D,2,FALSE),VLOOKUP(B669,Collections!$B:$D,3,FALSE)*10.7639),0),"collection not found"))</f>
        <v/>
      </c>
    </row>
    <row r="670">
      <c r="I670" s="10">
        <f>IF(OR(H670="",B670=""),"",IFERROR(ROUND(H670*MAX(VLOOKUP(B670,Collections!$B:$D,2,FALSE),VLOOKUP(B670,Collections!$B:$D,3,FALSE)*10.7639),0),"collection not found"))</f>
        <v/>
      </c>
    </row>
    <row r="671">
      <c r="I671" s="10">
        <f>IF(OR(H671="",B671=""),"",IFERROR(ROUND(H671*MAX(VLOOKUP(B671,Collections!$B:$D,2,FALSE),VLOOKUP(B671,Collections!$B:$D,3,FALSE)*10.7639),0),"collection not found"))</f>
        <v/>
      </c>
    </row>
    <row r="672">
      <c r="I672" s="10">
        <f>IF(OR(H672="",B672=""),"",IFERROR(ROUND(H672*MAX(VLOOKUP(B672,Collections!$B:$D,2,FALSE),VLOOKUP(B672,Collections!$B:$D,3,FALSE)*10.7639),0),"collection not found"))</f>
        <v/>
      </c>
    </row>
    <row r="673">
      <c r="I673" s="10">
        <f>IF(OR(H673="",B673=""),"",IFERROR(ROUND(H673*MAX(VLOOKUP(B673,Collections!$B:$D,2,FALSE),VLOOKUP(B673,Collections!$B:$D,3,FALSE)*10.7639),0),"collection not found"))</f>
        <v/>
      </c>
    </row>
    <row r="674">
      <c r="I674" s="10">
        <f>IF(OR(H674="",B674=""),"",IFERROR(ROUND(H674*MAX(VLOOKUP(B674,Collections!$B:$D,2,FALSE),VLOOKUP(B674,Collections!$B:$D,3,FALSE)*10.7639),0),"collection not found"))</f>
        <v/>
      </c>
    </row>
    <row r="675">
      <c r="I675" s="10">
        <f>IF(OR(H675="",B675=""),"",IFERROR(ROUND(H675*MAX(VLOOKUP(B675,Collections!$B:$D,2,FALSE),VLOOKUP(B675,Collections!$B:$D,3,FALSE)*10.7639),0),"collection not found"))</f>
        <v/>
      </c>
    </row>
    <row r="676">
      <c r="I676" s="10">
        <f>IF(OR(H676="",B676=""),"",IFERROR(ROUND(H676*MAX(VLOOKUP(B676,Collections!$B:$D,2,FALSE),VLOOKUP(B676,Collections!$B:$D,3,FALSE)*10.7639),0),"collection not found"))</f>
        <v/>
      </c>
    </row>
    <row r="677">
      <c r="I677" s="10">
        <f>IF(OR(H677="",B677=""),"",IFERROR(ROUND(H677*MAX(VLOOKUP(B677,Collections!$B:$D,2,FALSE),VLOOKUP(B677,Collections!$B:$D,3,FALSE)*10.7639),0),"collection not found"))</f>
        <v/>
      </c>
    </row>
    <row r="678">
      <c r="I678" s="10">
        <f>IF(OR(H678="",B678=""),"",IFERROR(ROUND(H678*MAX(VLOOKUP(B678,Collections!$B:$D,2,FALSE),VLOOKUP(B678,Collections!$B:$D,3,FALSE)*10.7639),0),"collection not found"))</f>
        <v/>
      </c>
    </row>
    <row r="679">
      <c r="I679" s="10">
        <f>IF(OR(H679="",B679=""),"",IFERROR(ROUND(H679*MAX(VLOOKUP(B679,Collections!$B:$D,2,FALSE),VLOOKUP(B679,Collections!$B:$D,3,FALSE)*10.7639),0),"collection not found"))</f>
        <v/>
      </c>
    </row>
    <row r="680">
      <c r="I680" s="10">
        <f>IF(OR(H680="",B680=""),"",IFERROR(ROUND(H680*MAX(VLOOKUP(B680,Collections!$B:$D,2,FALSE),VLOOKUP(B680,Collections!$B:$D,3,FALSE)*10.7639),0),"collection not found"))</f>
        <v/>
      </c>
    </row>
    <row r="681">
      <c r="I681" s="10">
        <f>IF(OR(H681="",B681=""),"",IFERROR(ROUND(H681*MAX(VLOOKUP(B681,Collections!$B:$D,2,FALSE),VLOOKUP(B681,Collections!$B:$D,3,FALSE)*10.7639),0),"collection not found"))</f>
        <v/>
      </c>
    </row>
    <row r="682">
      <c r="I682" s="10">
        <f>IF(OR(H682="",B682=""),"",IFERROR(ROUND(H682*MAX(VLOOKUP(B682,Collections!$B:$D,2,FALSE),VLOOKUP(B682,Collections!$B:$D,3,FALSE)*10.7639),0),"collection not found"))</f>
        <v/>
      </c>
    </row>
    <row r="683">
      <c r="I683" s="10">
        <f>IF(OR(H683="",B683=""),"",IFERROR(ROUND(H683*MAX(VLOOKUP(B683,Collections!$B:$D,2,FALSE),VLOOKUP(B683,Collections!$B:$D,3,FALSE)*10.7639),0),"collection not found"))</f>
        <v/>
      </c>
    </row>
    <row r="684">
      <c r="I684" s="10">
        <f>IF(OR(H684="",B684=""),"",IFERROR(ROUND(H684*MAX(VLOOKUP(B684,Collections!$B:$D,2,FALSE),VLOOKUP(B684,Collections!$B:$D,3,FALSE)*10.7639),0),"collection not found"))</f>
        <v/>
      </c>
    </row>
    <row r="685">
      <c r="I685" s="10">
        <f>IF(OR(H685="",B685=""),"",IFERROR(ROUND(H685*MAX(VLOOKUP(B685,Collections!$B:$D,2,FALSE),VLOOKUP(B685,Collections!$B:$D,3,FALSE)*10.7639),0),"collection not found"))</f>
        <v/>
      </c>
    </row>
    <row r="686">
      <c r="I686" s="10">
        <f>IF(OR(H686="",B686=""),"",IFERROR(ROUND(H686*MAX(VLOOKUP(B686,Collections!$B:$D,2,FALSE),VLOOKUP(B686,Collections!$B:$D,3,FALSE)*10.7639),0),"collection not found"))</f>
        <v/>
      </c>
    </row>
    <row r="687">
      <c r="I687" s="10">
        <f>IF(OR(H687="",B687=""),"",IFERROR(ROUND(H687*MAX(VLOOKUP(B687,Collections!$B:$D,2,FALSE),VLOOKUP(B687,Collections!$B:$D,3,FALSE)*10.7639),0),"collection not found"))</f>
        <v/>
      </c>
    </row>
    <row r="688">
      <c r="I688" s="10">
        <f>IF(OR(H688="",B688=""),"",IFERROR(ROUND(H688*MAX(VLOOKUP(B688,Collections!$B:$D,2,FALSE),VLOOKUP(B688,Collections!$B:$D,3,FALSE)*10.7639),0),"collection not found"))</f>
        <v/>
      </c>
    </row>
    <row r="689">
      <c r="I689" s="10">
        <f>IF(OR(H689="",B689=""),"",IFERROR(ROUND(H689*MAX(VLOOKUP(B689,Collections!$B:$D,2,FALSE),VLOOKUP(B689,Collections!$B:$D,3,FALSE)*10.7639),0),"collection not found"))</f>
        <v/>
      </c>
    </row>
    <row r="690">
      <c r="I690" s="10">
        <f>IF(OR(H690="",B690=""),"",IFERROR(ROUND(H690*MAX(VLOOKUP(B690,Collections!$B:$D,2,FALSE),VLOOKUP(B690,Collections!$B:$D,3,FALSE)*10.7639),0),"collection not found"))</f>
        <v/>
      </c>
    </row>
    <row r="691">
      <c r="I691" s="10">
        <f>IF(OR(H691="",B691=""),"",IFERROR(ROUND(H691*MAX(VLOOKUP(B691,Collections!$B:$D,2,FALSE),VLOOKUP(B691,Collections!$B:$D,3,FALSE)*10.7639),0),"collection not found"))</f>
        <v/>
      </c>
    </row>
    <row r="692">
      <c r="I692" s="10">
        <f>IF(OR(H692="",B692=""),"",IFERROR(ROUND(H692*MAX(VLOOKUP(B692,Collections!$B:$D,2,FALSE),VLOOKUP(B692,Collections!$B:$D,3,FALSE)*10.7639),0),"collection not found"))</f>
        <v/>
      </c>
    </row>
    <row r="693">
      <c r="I693" s="10">
        <f>IF(OR(H693="",B693=""),"",IFERROR(ROUND(H693*MAX(VLOOKUP(B693,Collections!$B:$D,2,FALSE),VLOOKUP(B693,Collections!$B:$D,3,FALSE)*10.7639),0),"collection not found"))</f>
        <v/>
      </c>
    </row>
    <row r="694">
      <c r="I694" s="10">
        <f>IF(OR(H694="",B694=""),"",IFERROR(ROUND(H694*MAX(VLOOKUP(B694,Collections!$B:$D,2,FALSE),VLOOKUP(B694,Collections!$B:$D,3,FALSE)*10.7639),0),"collection not found"))</f>
        <v/>
      </c>
    </row>
    <row r="695">
      <c r="I695" s="10">
        <f>IF(OR(H695="",B695=""),"",IFERROR(ROUND(H695*MAX(VLOOKUP(B695,Collections!$B:$D,2,FALSE),VLOOKUP(B695,Collections!$B:$D,3,FALSE)*10.7639),0),"collection not found"))</f>
        <v/>
      </c>
    </row>
    <row r="696">
      <c r="I696" s="10">
        <f>IF(OR(H696="",B696=""),"",IFERROR(ROUND(H696*MAX(VLOOKUP(B696,Collections!$B:$D,2,FALSE),VLOOKUP(B696,Collections!$B:$D,3,FALSE)*10.7639),0),"collection not found"))</f>
        <v/>
      </c>
    </row>
    <row r="697">
      <c r="I697" s="10">
        <f>IF(OR(H697="",B697=""),"",IFERROR(ROUND(H697*MAX(VLOOKUP(B697,Collections!$B:$D,2,FALSE),VLOOKUP(B697,Collections!$B:$D,3,FALSE)*10.7639),0),"collection not found"))</f>
        <v/>
      </c>
    </row>
    <row r="698">
      <c r="I698" s="10">
        <f>IF(OR(H698="",B698=""),"",IFERROR(ROUND(H698*MAX(VLOOKUP(B698,Collections!$B:$D,2,FALSE),VLOOKUP(B698,Collections!$B:$D,3,FALSE)*10.7639),0),"collection not found"))</f>
        <v/>
      </c>
    </row>
    <row r="699">
      <c r="I699" s="10">
        <f>IF(OR(H699="",B699=""),"",IFERROR(ROUND(H699*MAX(VLOOKUP(B699,Collections!$B:$D,2,FALSE),VLOOKUP(B699,Collections!$B:$D,3,FALSE)*10.7639),0),"collection not found"))</f>
        <v/>
      </c>
    </row>
    <row r="700">
      <c r="I700" s="10">
        <f>IF(OR(H700="",B700=""),"",IFERROR(ROUND(H700*MAX(VLOOKUP(B700,Collections!$B:$D,2,FALSE),VLOOKUP(B700,Collections!$B:$D,3,FALSE)*10.7639),0),"collection not found"))</f>
        <v/>
      </c>
    </row>
    <row r="701">
      <c r="I701" s="10">
        <f>IF(OR(H701="",B701=""),"",IFERROR(ROUND(H701*MAX(VLOOKUP(B701,Collections!$B:$D,2,FALSE),VLOOKUP(B701,Collections!$B:$D,3,FALSE)*10.7639),0),"collection not found"))</f>
        <v/>
      </c>
    </row>
    <row r="702">
      <c r="I702" s="10">
        <f>IF(OR(H702="",B702=""),"",IFERROR(ROUND(H702*MAX(VLOOKUP(B702,Collections!$B:$D,2,FALSE),VLOOKUP(B702,Collections!$B:$D,3,FALSE)*10.7639),0),"collection not found"))</f>
        <v/>
      </c>
    </row>
    <row r="703">
      <c r="I703" s="10">
        <f>IF(OR(H703="",B703=""),"",IFERROR(ROUND(H703*MAX(VLOOKUP(B703,Collections!$B:$D,2,FALSE),VLOOKUP(B703,Collections!$B:$D,3,FALSE)*10.7639),0),"collection not found"))</f>
        <v/>
      </c>
    </row>
    <row r="704">
      <c r="I704" s="10">
        <f>IF(OR(H704="",B704=""),"",IFERROR(ROUND(H704*MAX(VLOOKUP(B704,Collections!$B:$D,2,FALSE),VLOOKUP(B704,Collections!$B:$D,3,FALSE)*10.7639),0),"collection not found"))</f>
        <v/>
      </c>
    </row>
    <row r="705">
      <c r="I705" s="10">
        <f>IF(OR(H705="",B705=""),"",IFERROR(ROUND(H705*MAX(VLOOKUP(B705,Collections!$B:$D,2,FALSE),VLOOKUP(B705,Collections!$B:$D,3,FALSE)*10.7639),0),"collection not found"))</f>
        <v/>
      </c>
    </row>
    <row r="706">
      <c r="I706" s="10">
        <f>IF(OR(H706="",B706=""),"",IFERROR(ROUND(H706*MAX(VLOOKUP(B706,Collections!$B:$D,2,FALSE),VLOOKUP(B706,Collections!$B:$D,3,FALSE)*10.7639),0),"collection not found"))</f>
        <v/>
      </c>
    </row>
    <row r="707">
      <c r="I707" s="10">
        <f>IF(OR(H707="",B707=""),"",IFERROR(ROUND(H707*MAX(VLOOKUP(B707,Collections!$B:$D,2,FALSE),VLOOKUP(B707,Collections!$B:$D,3,FALSE)*10.7639),0),"collection not found"))</f>
        <v/>
      </c>
    </row>
    <row r="708">
      <c r="I708" s="10">
        <f>IF(OR(H708="",B708=""),"",IFERROR(ROUND(H708*MAX(VLOOKUP(B708,Collections!$B:$D,2,FALSE),VLOOKUP(B708,Collections!$B:$D,3,FALSE)*10.7639),0),"collection not found"))</f>
        <v/>
      </c>
    </row>
    <row r="709">
      <c r="I709" s="10">
        <f>IF(OR(H709="",B709=""),"",IFERROR(ROUND(H709*MAX(VLOOKUP(B709,Collections!$B:$D,2,FALSE),VLOOKUP(B709,Collections!$B:$D,3,FALSE)*10.7639),0),"collection not found"))</f>
        <v/>
      </c>
    </row>
    <row r="710">
      <c r="I710" s="10">
        <f>IF(OR(H710="",B710=""),"",IFERROR(ROUND(H710*MAX(VLOOKUP(B710,Collections!$B:$D,2,FALSE),VLOOKUP(B710,Collections!$B:$D,3,FALSE)*10.7639),0),"collection not found"))</f>
        <v/>
      </c>
    </row>
    <row r="711">
      <c r="I711" s="10">
        <f>IF(OR(H711="",B711=""),"",IFERROR(ROUND(H711*MAX(VLOOKUP(B711,Collections!$B:$D,2,FALSE),VLOOKUP(B711,Collections!$B:$D,3,FALSE)*10.7639),0),"collection not found"))</f>
        <v/>
      </c>
    </row>
    <row r="712">
      <c r="I712" s="10">
        <f>IF(OR(H712="",B712=""),"",IFERROR(ROUND(H712*MAX(VLOOKUP(B712,Collections!$B:$D,2,FALSE),VLOOKUP(B712,Collections!$B:$D,3,FALSE)*10.7639),0),"collection not found"))</f>
        <v/>
      </c>
    </row>
    <row r="713">
      <c r="I713" s="10">
        <f>IF(OR(H713="",B713=""),"",IFERROR(ROUND(H713*MAX(VLOOKUP(B713,Collections!$B:$D,2,FALSE),VLOOKUP(B713,Collections!$B:$D,3,FALSE)*10.7639),0),"collection not found"))</f>
        <v/>
      </c>
    </row>
    <row r="714">
      <c r="I714" s="10">
        <f>IF(OR(H714="",B714=""),"",IFERROR(ROUND(H714*MAX(VLOOKUP(B714,Collections!$B:$D,2,FALSE),VLOOKUP(B714,Collections!$B:$D,3,FALSE)*10.7639),0),"collection not found"))</f>
        <v/>
      </c>
    </row>
    <row r="715">
      <c r="I715" s="10">
        <f>IF(OR(H715="",B715=""),"",IFERROR(ROUND(H715*MAX(VLOOKUP(B715,Collections!$B:$D,2,FALSE),VLOOKUP(B715,Collections!$B:$D,3,FALSE)*10.7639),0),"collection not found"))</f>
        <v/>
      </c>
    </row>
    <row r="716">
      <c r="I716" s="10">
        <f>IF(OR(H716="",B716=""),"",IFERROR(ROUND(H716*MAX(VLOOKUP(B716,Collections!$B:$D,2,FALSE),VLOOKUP(B716,Collections!$B:$D,3,FALSE)*10.7639),0),"collection not found"))</f>
        <v/>
      </c>
    </row>
    <row r="717">
      <c r="I717" s="10">
        <f>IF(OR(H717="",B717=""),"",IFERROR(ROUND(H717*MAX(VLOOKUP(B717,Collections!$B:$D,2,FALSE),VLOOKUP(B717,Collections!$B:$D,3,FALSE)*10.7639),0),"collection not found"))</f>
        <v/>
      </c>
    </row>
    <row r="718">
      <c r="I718" s="10">
        <f>IF(OR(H718="",B718=""),"",IFERROR(ROUND(H718*MAX(VLOOKUP(B718,Collections!$B:$D,2,FALSE),VLOOKUP(B718,Collections!$B:$D,3,FALSE)*10.7639),0),"collection not found"))</f>
        <v/>
      </c>
    </row>
    <row r="719">
      <c r="I719" s="10">
        <f>IF(OR(H719="",B719=""),"",IFERROR(ROUND(H719*MAX(VLOOKUP(B719,Collections!$B:$D,2,FALSE),VLOOKUP(B719,Collections!$B:$D,3,FALSE)*10.7639),0),"collection not found"))</f>
        <v/>
      </c>
    </row>
    <row r="720">
      <c r="I720" s="10">
        <f>IF(OR(H720="",B720=""),"",IFERROR(ROUND(H720*MAX(VLOOKUP(B720,Collections!$B:$D,2,FALSE),VLOOKUP(B720,Collections!$B:$D,3,FALSE)*10.7639),0),"collection not found"))</f>
        <v/>
      </c>
    </row>
    <row r="721">
      <c r="I721" s="10">
        <f>IF(OR(H721="",B721=""),"",IFERROR(ROUND(H721*MAX(VLOOKUP(B721,Collections!$B:$D,2,FALSE),VLOOKUP(B721,Collections!$B:$D,3,FALSE)*10.7639),0),"collection not found"))</f>
        <v/>
      </c>
    </row>
    <row r="722">
      <c r="I722" s="10">
        <f>IF(OR(H722="",B722=""),"",IFERROR(ROUND(H722*MAX(VLOOKUP(B722,Collections!$B:$D,2,FALSE),VLOOKUP(B722,Collections!$B:$D,3,FALSE)*10.7639),0),"collection not found"))</f>
        <v/>
      </c>
    </row>
    <row r="723">
      <c r="I723" s="10">
        <f>IF(OR(H723="",B723=""),"",IFERROR(ROUND(H723*MAX(VLOOKUP(B723,Collections!$B:$D,2,FALSE),VLOOKUP(B723,Collections!$B:$D,3,FALSE)*10.7639),0),"collection not found"))</f>
        <v/>
      </c>
    </row>
    <row r="724">
      <c r="I724" s="10">
        <f>IF(OR(H724="",B724=""),"",IFERROR(ROUND(H724*MAX(VLOOKUP(B724,Collections!$B:$D,2,FALSE),VLOOKUP(B724,Collections!$B:$D,3,FALSE)*10.7639),0),"collection not found"))</f>
        <v/>
      </c>
    </row>
    <row r="725">
      <c r="I725" s="10">
        <f>IF(OR(H725="",B725=""),"",IFERROR(ROUND(H725*MAX(VLOOKUP(B725,Collections!$B:$D,2,FALSE),VLOOKUP(B725,Collections!$B:$D,3,FALSE)*10.7639),0),"collection not found"))</f>
        <v/>
      </c>
    </row>
    <row r="726">
      <c r="I726" s="10">
        <f>IF(OR(H726="",B726=""),"",IFERROR(ROUND(H726*MAX(VLOOKUP(B726,Collections!$B:$D,2,FALSE),VLOOKUP(B726,Collections!$B:$D,3,FALSE)*10.7639),0),"collection not found"))</f>
        <v/>
      </c>
    </row>
    <row r="727">
      <c r="I727" s="10">
        <f>IF(OR(H727="",B727=""),"",IFERROR(ROUND(H727*MAX(VLOOKUP(B727,Collections!$B:$D,2,FALSE),VLOOKUP(B727,Collections!$B:$D,3,FALSE)*10.7639),0),"collection not found"))</f>
        <v/>
      </c>
    </row>
    <row r="728">
      <c r="I728" s="10">
        <f>IF(OR(H728="",B728=""),"",IFERROR(ROUND(H728*MAX(VLOOKUP(B728,Collections!$B:$D,2,FALSE),VLOOKUP(B728,Collections!$B:$D,3,FALSE)*10.7639),0),"collection not found"))</f>
        <v/>
      </c>
    </row>
    <row r="729">
      <c r="I729" s="10">
        <f>IF(OR(H729="",B729=""),"",IFERROR(ROUND(H729*MAX(VLOOKUP(B729,Collections!$B:$D,2,FALSE),VLOOKUP(B729,Collections!$B:$D,3,FALSE)*10.7639),0),"collection not found"))</f>
        <v/>
      </c>
    </row>
    <row r="730">
      <c r="I730" s="10">
        <f>IF(OR(H730="",B730=""),"",IFERROR(ROUND(H730*MAX(VLOOKUP(B730,Collections!$B:$D,2,FALSE),VLOOKUP(B730,Collections!$B:$D,3,FALSE)*10.7639),0),"collection not found"))</f>
        <v/>
      </c>
    </row>
    <row r="731">
      <c r="I731" s="10">
        <f>IF(OR(H731="",B731=""),"",IFERROR(ROUND(H731*MAX(VLOOKUP(B731,Collections!$B:$D,2,FALSE),VLOOKUP(B731,Collections!$B:$D,3,FALSE)*10.7639),0),"collection not found"))</f>
        <v/>
      </c>
    </row>
    <row r="732">
      <c r="I732" s="10">
        <f>IF(OR(H732="",B732=""),"",IFERROR(ROUND(H732*MAX(VLOOKUP(B732,Collections!$B:$D,2,FALSE),VLOOKUP(B732,Collections!$B:$D,3,FALSE)*10.7639),0),"collection not found"))</f>
        <v/>
      </c>
    </row>
    <row r="733">
      <c r="I733" s="10">
        <f>IF(OR(H733="",B733=""),"",IFERROR(ROUND(H733*MAX(VLOOKUP(B733,Collections!$B:$D,2,FALSE),VLOOKUP(B733,Collections!$B:$D,3,FALSE)*10.7639),0),"collection not found"))</f>
        <v/>
      </c>
    </row>
    <row r="734">
      <c r="I734" s="10">
        <f>IF(OR(H734="",B734=""),"",IFERROR(ROUND(H734*MAX(VLOOKUP(B734,Collections!$B:$D,2,FALSE),VLOOKUP(B734,Collections!$B:$D,3,FALSE)*10.7639),0),"collection not found"))</f>
        <v/>
      </c>
    </row>
    <row r="735">
      <c r="I735" s="10">
        <f>IF(OR(H735="",B735=""),"",IFERROR(ROUND(H735*MAX(VLOOKUP(B735,Collections!$B:$D,2,FALSE),VLOOKUP(B735,Collections!$B:$D,3,FALSE)*10.7639),0),"collection not found"))</f>
        <v/>
      </c>
    </row>
    <row r="736">
      <c r="I736" s="10">
        <f>IF(OR(H736="",B736=""),"",IFERROR(ROUND(H736*MAX(VLOOKUP(B736,Collections!$B:$D,2,FALSE),VLOOKUP(B736,Collections!$B:$D,3,FALSE)*10.7639),0),"collection not found"))</f>
        <v/>
      </c>
    </row>
    <row r="737">
      <c r="I737" s="10">
        <f>IF(OR(H737="",B737=""),"",IFERROR(ROUND(H737*MAX(VLOOKUP(B737,Collections!$B:$D,2,FALSE),VLOOKUP(B737,Collections!$B:$D,3,FALSE)*10.7639),0),"collection not found"))</f>
        <v/>
      </c>
    </row>
    <row r="738">
      <c r="I738" s="10">
        <f>IF(OR(H738="",B738=""),"",IFERROR(ROUND(H738*MAX(VLOOKUP(B738,Collections!$B:$D,2,FALSE),VLOOKUP(B738,Collections!$B:$D,3,FALSE)*10.7639),0),"collection not found"))</f>
        <v/>
      </c>
    </row>
    <row r="739">
      <c r="I739" s="10">
        <f>IF(OR(H739="",B739=""),"",IFERROR(ROUND(H739*MAX(VLOOKUP(B739,Collections!$B:$D,2,FALSE),VLOOKUP(B739,Collections!$B:$D,3,FALSE)*10.7639),0),"collection not found"))</f>
        <v/>
      </c>
    </row>
    <row r="740">
      <c r="I740" s="10">
        <f>IF(OR(H740="",B740=""),"",IFERROR(ROUND(H740*MAX(VLOOKUP(B740,Collections!$B:$D,2,FALSE),VLOOKUP(B740,Collections!$B:$D,3,FALSE)*10.7639),0),"collection not found"))</f>
        <v/>
      </c>
    </row>
    <row r="741">
      <c r="I741" s="10">
        <f>IF(OR(H741="",B741=""),"",IFERROR(ROUND(H741*MAX(VLOOKUP(B741,Collections!$B:$D,2,FALSE),VLOOKUP(B741,Collections!$B:$D,3,FALSE)*10.7639),0),"collection not found"))</f>
        <v/>
      </c>
    </row>
    <row r="742">
      <c r="I742" s="10">
        <f>IF(OR(H742="",B742=""),"",IFERROR(ROUND(H742*MAX(VLOOKUP(B742,Collections!$B:$D,2,FALSE),VLOOKUP(B742,Collections!$B:$D,3,FALSE)*10.7639),0),"collection not found"))</f>
        <v/>
      </c>
    </row>
    <row r="743">
      <c r="I743" s="10">
        <f>IF(OR(H743="",B743=""),"",IFERROR(ROUND(H743*MAX(VLOOKUP(B743,Collections!$B:$D,2,FALSE),VLOOKUP(B743,Collections!$B:$D,3,FALSE)*10.7639),0),"collection not found"))</f>
        <v/>
      </c>
    </row>
    <row r="744">
      <c r="I744" s="10">
        <f>IF(OR(H744="",B744=""),"",IFERROR(ROUND(H744*MAX(VLOOKUP(B744,Collections!$B:$D,2,FALSE),VLOOKUP(B744,Collections!$B:$D,3,FALSE)*10.7639),0),"collection not found"))</f>
        <v/>
      </c>
    </row>
    <row r="745">
      <c r="I745" s="10">
        <f>IF(OR(H745="",B745=""),"",IFERROR(ROUND(H745*MAX(VLOOKUP(B745,Collections!$B:$D,2,FALSE),VLOOKUP(B745,Collections!$B:$D,3,FALSE)*10.7639),0),"collection not found"))</f>
        <v/>
      </c>
    </row>
    <row r="746">
      <c r="I746" s="10">
        <f>IF(OR(H746="",B746=""),"",IFERROR(ROUND(H746*MAX(VLOOKUP(B746,Collections!$B:$D,2,FALSE),VLOOKUP(B746,Collections!$B:$D,3,FALSE)*10.7639),0),"collection not found"))</f>
        <v/>
      </c>
    </row>
    <row r="747">
      <c r="I747" s="10">
        <f>IF(OR(H747="",B747=""),"",IFERROR(ROUND(H747*MAX(VLOOKUP(B747,Collections!$B:$D,2,FALSE),VLOOKUP(B747,Collections!$B:$D,3,FALSE)*10.7639),0),"collection not found"))</f>
        <v/>
      </c>
    </row>
    <row r="748">
      <c r="I748" s="10">
        <f>IF(OR(H748="",B748=""),"",IFERROR(ROUND(H748*MAX(VLOOKUP(B748,Collections!$B:$D,2,FALSE),VLOOKUP(B748,Collections!$B:$D,3,FALSE)*10.7639),0),"collection not found"))</f>
        <v/>
      </c>
    </row>
    <row r="749">
      <c r="I749" s="10">
        <f>IF(OR(H749="",B749=""),"",IFERROR(ROUND(H749*MAX(VLOOKUP(B749,Collections!$B:$D,2,FALSE),VLOOKUP(B749,Collections!$B:$D,3,FALSE)*10.7639),0),"collection not found"))</f>
        <v/>
      </c>
    </row>
    <row r="750">
      <c r="I750" s="10">
        <f>IF(OR(H750="",B750=""),"",IFERROR(ROUND(H750*MAX(VLOOKUP(B750,Collections!$B:$D,2,FALSE),VLOOKUP(B750,Collections!$B:$D,3,FALSE)*10.7639),0),"collection not found"))</f>
        <v/>
      </c>
    </row>
    <row r="751">
      <c r="I751" s="10">
        <f>IF(OR(H751="",B751=""),"",IFERROR(ROUND(H751*MAX(VLOOKUP(B751,Collections!$B:$D,2,FALSE),VLOOKUP(B751,Collections!$B:$D,3,FALSE)*10.7639),0),"collection not found"))</f>
        <v/>
      </c>
    </row>
    <row r="752">
      <c r="I752" s="10">
        <f>IF(OR(H752="",B752=""),"",IFERROR(ROUND(H752*MAX(VLOOKUP(B752,Collections!$B:$D,2,FALSE),VLOOKUP(B752,Collections!$B:$D,3,FALSE)*10.7639),0),"collection not found"))</f>
        <v/>
      </c>
    </row>
    <row r="753">
      <c r="I753" s="10">
        <f>IF(OR(H753="",B753=""),"",IFERROR(ROUND(H753*MAX(VLOOKUP(B753,Collections!$B:$D,2,FALSE),VLOOKUP(B753,Collections!$B:$D,3,FALSE)*10.7639),0),"collection not found"))</f>
        <v/>
      </c>
    </row>
    <row r="754">
      <c r="I754" s="10">
        <f>IF(OR(H754="",B754=""),"",IFERROR(ROUND(H754*MAX(VLOOKUP(B754,Collections!$B:$D,2,FALSE),VLOOKUP(B754,Collections!$B:$D,3,FALSE)*10.7639),0),"collection not found"))</f>
        <v/>
      </c>
    </row>
    <row r="755">
      <c r="I755" s="10">
        <f>IF(OR(H755="",B755=""),"",IFERROR(ROUND(H755*MAX(VLOOKUP(B755,Collections!$B:$D,2,FALSE),VLOOKUP(B755,Collections!$B:$D,3,FALSE)*10.7639),0),"collection not found"))</f>
        <v/>
      </c>
    </row>
    <row r="756">
      <c r="I756" s="10">
        <f>IF(OR(H756="",B756=""),"",IFERROR(ROUND(H756*MAX(VLOOKUP(B756,Collections!$B:$D,2,FALSE),VLOOKUP(B756,Collections!$B:$D,3,FALSE)*10.7639),0),"collection not found"))</f>
        <v/>
      </c>
    </row>
    <row r="757">
      <c r="I757" s="10">
        <f>IF(OR(H757="",B757=""),"",IFERROR(ROUND(H757*MAX(VLOOKUP(B757,Collections!$B:$D,2,FALSE),VLOOKUP(B757,Collections!$B:$D,3,FALSE)*10.7639),0),"collection not found"))</f>
        <v/>
      </c>
    </row>
    <row r="758">
      <c r="I758" s="10">
        <f>IF(OR(H758="",B758=""),"",IFERROR(ROUND(H758*MAX(VLOOKUP(B758,Collections!$B:$D,2,FALSE),VLOOKUP(B758,Collections!$B:$D,3,FALSE)*10.7639),0),"collection not found"))</f>
        <v/>
      </c>
    </row>
    <row r="759">
      <c r="I759" s="10">
        <f>IF(OR(H759="",B759=""),"",IFERROR(ROUND(H759*MAX(VLOOKUP(B759,Collections!$B:$D,2,FALSE),VLOOKUP(B759,Collections!$B:$D,3,FALSE)*10.7639),0),"collection not found"))</f>
        <v/>
      </c>
    </row>
    <row r="760">
      <c r="I760" s="10">
        <f>IF(OR(H760="",B760=""),"",IFERROR(ROUND(H760*MAX(VLOOKUP(B760,Collections!$B:$D,2,FALSE),VLOOKUP(B760,Collections!$B:$D,3,FALSE)*10.7639),0),"collection not found"))</f>
        <v/>
      </c>
    </row>
    <row r="761">
      <c r="I761" s="10">
        <f>IF(OR(H761="",B761=""),"",IFERROR(ROUND(H761*MAX(VLOOKUP(B761,Collections!$B:$D,2,FALSE),VLOOKUP(B761,Collections!$B:$D,3,FALSE)*10.7639),0),"collection not found"))</f>
        <v/>
      </c>
    </row>
    <row r="762">
      <c r="I762" s="10">
        <f>IF(OR(H762="",B762=""),"",IFERROR(ROUND(H762*MAX(VLOOKUP(B762,Collections!$B:$D,2,FALSE),VLOOKUP(B762,Collections!$B:$D,3,FALSE)*10.7639),0),"collection not found"))</f>
        <v/>
      </c>
    </row>
    <row r="763">
      <c r="I763" s="10">
        <f>IF(OR(H763="",B763=""),"",IFERROR(ROUND(H763*MAX(VLOOKUP(B763,Collections!$B:$D,2,FALSE),VLOOKUP(B763,Collections!$B:$D,3,FALSE)*10.7639),0),"collection not found"))</f>
        <v/>
      </c>
    </row>
    <row r="764">
      <c r="I764" s="10">
        <f>IF(OR(H764="",B764=""),"",IFERROR(ROUND(H764*MAX(VLOOKUP(B764,Collections!$B:$D,2,FALSE),VLOOKUP(B764,Collections!$B:$D,3,FALSE)*10.7639),0),"collection not found"))</f>
        <v/>
      </c>
    </row>
    <row r="765">
      <c r="I765" s="10">
        <f>IF(OR(H765="",B765=""),"",IFERROR(ROUND(H765*MAX(VLOOKUP(B765,Collections!$B:$D,2,FALSE),VLOOKUP(B765,Collections!$B:$D,3,FALSE)*10.7639),0),"collection not found"))</f>
        <v/>
      </c>
    </row>
    <row r="766">
      <c r="I766" s="10">
        <f>IF(OR(H766="",B766=""),"",IFERROR(ROUND(H766*MAX(VLOOKUP(B766,Collections!$B:$D,2,FALSE),VLOOKUP(B766,Collections!$B:$D,3,FALSE)*10.7639),0),"collection not found"))</f>
        <v/>
      </c>
    </row>
    <row r="767">
      <c r="I767" s="10">
        <f>IF(OR(H767="",B767=""),"",IFERROR(ROUND(H767*MAX(VLOOKUP(B767,Collections!$B:$D,2,FALSE),VLOOKUP(B767,Collections!$B:$D,3,FALSE)*10.7639),0),"collection not found"))</f>
        <v/>
      </c>
    </row>
    <row r="768">
      <c r="I768" s="10">
        <f>IF(OR(H768="",B768=""),"",IFERROR(ROUND(H768*MAX(VLOOKUP(B768,Collections!$B:$D,2,FALSE),VLOOKUP(B768,Collections!$B:$D,3,FALSE)*10.7639),0),"collection not found"))</f>
        <v/>
      </c>
    </row>
    <row r="769">
      <c r="I769" s="10">
        <f>IF(OR(H769="",B769=""),"",IFERROR(ROUND(H769*MAX(VLOOKUP(B769,Collections!$B:$D,2,FALSE),VLOOKUP(B769,Collections!$B:$D,3,FALSE)*10.7639),0),"collection not found"))</f>
        <v/>
      </c>
    </row>
    <row r="770">
      <c r="I770" s="10">
        <f>IF(OR(H770="",B770=""),"",IFERROR(ROUND(H770*MAX(VLOOKUP(B770,Collections!$B:$D,2,FALSE),VLOOKUP(B770,Collections!$B:$D,3,FALSE)*10.7639),0),"collection not found"))</f>
        <v/>
      </c>
    </row>
    <row r="771">
      <c r="I771" s="10">
        <f>IF(OR(H771="",B771=""),"",IFERROR(ROUND(H771*MAX(VLOOKUP(B771,Collections!$B:$D,2,FALSE),VLOOKUP(B771,Collections!$B:$D,3,FALSE)*10.7639),0),"collection not found"))</f>
        <v/>
      </c>
    </row>
    <row r="772">
      <c r="I772" s="10">
        <f>IF(OR(H772="",B772=""),"",IFERROR(ROUND(H772*MAX(VLOOKUP(B772,Collections!$B:$D,2,FALSE),VLOOKUP(B772,Collections!$B:$D,3,FALSE)*10.7639),0),"collection not found"))</f>
        <v/>
      </c>
    </row>
    <row r="773">
      <c r="I773" s="10">
        <f>IF(OR(H773="",B773=""),"",IFERROR(ROUND(H773*MAX(VLOOKUP(B773,Collections!$B:$D,2,FALSE),VLOOKUP(B773,Collections!$B:$D,3,FALSE)*10.7639),0),"collection not found"))</f>
        <v/>
      </c>
    </row>
    <row r="774">
      <c r="I774" s="10">
        <f>IF(OR(H774="",B774=""),"",IFERROR(ROUND(H774*MAX(VLOOKUP(B774,Collections!$B:$D,2,FALSE),VLOOKUP(B774,Collections!$B:$D,3,FALSE)*10.7639),0),"collection not found"))</f>
        <v/>
      </c>
    </row>
    <row r="775">
      <c r="I775" s="10">
        <f>IF(OR(H775="",B775=""),"",IFERROR(ROUND(H775*MAX(VLOOKUP(B775,Collections!$B:$D,2,FALSE),VLOOKUP(B775,Collections!$B:$D,3,FALSE)*10.7639),0),"collection not found"))</f>
        <v/>
      </c>
    </row>
    <row r="776">
      <c r="I776" s="10">
        <f>IF(OR(H776="",B776=""),"",IFERROR(ROUND(H776*MAX(VLOOKUP(B776,Collections!$B:$D,2,FALSE),VLOOKUP(B776,Collections!$B:$D,3,FALSE)*10.7639),0),"collection not found"))</f>
        <v/>
      </c>
    </row>
    <row r="777">
      <c r="I777" s="10">
        <f>IF(OR(H777="",B777=""),"",IFERROR(ROUND(H777*MAX(VLOOKUP(B777,Collections!$B:$D,2,FALSE),VLOOKUP(B777,Collections!$B:$D,3,FALSE)*10.7639),0),"collection not found"))</f>
        <v/>
      </c>
    </row>
    <row r="778">
      <c r="I778" s="10">
        <f>IF(OR(H778="",B778=""),"",IFERROR(ROUND(H778*MAX(VLOOKUP(B778,Collections!$B:$D,2,FALSE),VLOOKUP(B778,Collections!$B:$D,3,FALSE)*10.7639),0),"collection not found"))</f>
        <v/>
      </c>
    </row>
    <row r="779">
      <c r="I779" s="10">
        <f>IF(OR(H779="",B779=""),"",IFERROR(ROUND(H779*MAX(VLOOKUP(B779,Collections!$B:$D,2,FALSE),VLOOKUP(B779,Collections!$B:$D,3,FALSE)*10.7639),0),"collection not found"))</f>
        <v/>
      </c>
    </row>
    <row r="780">
      <c r="I780" s="10">
        <f>IF(OR(H780="",B780=""),"",IFERROR(ROUND(H780*MAX(VLOOKUP(B780,Collections!$B:$D,2,FALSE),VLOOKUP(B780,Collections!$B:$D,3,FALSE)*10.7639),0),"collection not found"))</f>
        <v/>
      </c>
    </row>
    <row r="781">
      <c r="I781" s="10">
        <f>IF(OR(H781="",B781=""),"",IFERROR(ROUND(H781*MAX(VLOOKUP(B781,Collections!$B:$D,2,FALSE),VLOOKUP(B781,Collections!$B:$D,3,FALSE)*10.7639),0),"collection not found"))</f>
        <v/>
      </c>
    </row>
    <row r="782">
      <c r="I782" s="10">
        <f>IF(OR(H782="",B782=""),"",IFERROR(ROUND(H782*MAX(VLOOKUP(B782,Collections!$B:$D,2,FALSE),VLOOKUP(B782,Collections!$B:$D,3,FALSE)*10.7639),0),"collection not found"))</f>
        <v/>
      </c>
    </row>
    <row r="783">
      <c r="I783" s="10">
        <f>IF(OR(H783="",B783=""),"",IFERROR(ROUND(H783*MAX(VLOOKUP(B783,Collections!$B:$D,2,FALSE),VLOOKUP(B783,Collections!$B:$D,3,FALSE)*10.7639),0),"collection not found"))</f>
        <v/>
      </c>
    </row>
    <row r="784">
      <c r="I784" s="10">
        <f>IF(OR(H784="",B784=""),"",IFERROR(ROUND(H784*MAX(VLOOKUP(B784,Collections!$B:$D,2,FALSE),VLOOKUP(B784,Collections!$B:$D,3,FALSE)*10.7639),0),"collection not found"))</f>
        <v/>
      </c>
    </row>
    <row r="785">
      <c r="I785" s="10">
        <f>IF(OR(H785="",B785=""),"",IFERROR(ROUND(H785*MAX(VLOOKUP(B785,Collections!$B:$D,2,FALSE),VLOOKUP(B785,Collections!$B:$D,3,FALSE)*10.7639),0),"collection not found"))</f>
        <v/>
      </c>
    </row>
    <row r="786">
      <c r="I786" s="10">
        <f>IF(OR(H786="",B786=""),"",IFERROR(ROUND(H786*MAX(VLOOKUP(B786,Collections!$B:$D,2,FALSE),VLOOKUP(B786,Collections!$B:$D,3,FALSE)*10.7639),0),"collection not found"))</f>
        <v/>
      </c>
    </row>
    <row r="787">
      <c r="I787" s="10">
        <f>IF(OR(H787="",B787=""),"",IFERROR(ROUND(H787*MAX(VLOOKUP(B787,Collections!$B:$D,2,FALSE),VLOOKUP(B787,Collections!$B:$D,3,FALSE)*10.7639),0),"collection not found"))</f>
        <v/>
      </c>
    </row>
    <row r="788">
      <c r="I788" s="10">
        <f>IF(OR(H788="",B788=""),"",IFERROR(ROUND(H788*MAX(VLOOKUP(B788,Collections!$B:$D,2,FALSE),VLOOKUP(B788,Collections!$B:$D,3,FALSE)*10.7639),0),"collection not found"))</f>
        <v/>
      </c>
    </row>
    <row r="789">
      <c r="I789" s="10">
        <f>IF(OR(H789="",B789=""),"",IFERROR(ROUND(H789*MAX(VLOOKUP(B789,Collections!$B:$D,2,FALSE),VLOOKUP(B789,Collections!$B:$D,3,FALSE)*10.7639),0),"collection not found"))</f>
        <v/>
      </c>
    </row>
    <row r="790">
      <c r="I790" s="10">
        <f>IF(OR(H790="",B790=""),"",IFERROR(ROUND(H790*MAX(VLOOKUP(B790,Collections!$B:$D,2,FALSE),VLOOKUP(B790,Collections!$B:$D,3,FALSE)*10.7639),0),"collection not found"))</f>
        <v/>
      </c>
    </row>
    <row r="791">
      <c r="I791" s="10">
        <f>IF(OR(H791="",B791=""),"",IFERROR(ROUND(H791*MAX(VLOOKUP(B791,Collections!$B:$D,2,FALSE),VLOOKUP(B791,Collections!$B:$D,3,FALSE)*10.7639),0),"collection not found"))</f>
        <v/>
      </c>
    </row>
    <row r="792">
      <c r="I792" s="10">
        <f>IF(OR(H792="",B792=""),"",IFERROR(ROUND(H792*MAX(VLOOKUP(B792,Collections!$B:$D,2,FALSE),VLOOKUP(B792,Collections!$B:$D,3,FALSE)*10.7639),0),"collection not found"))</f>
        <v/>
      </c>
    </row>
    <row r="793">
      <c r="I793" s="10">
        <f>IF(OR(H793="",B793=""),"",IFERROR(ROUND(H793*MAX(VLOOKUP(B793,Collections!$B:$D,2,FALSE),VLOOKUP(B793,Collections!$B:$D,3,FALSE)*10.7639),0),"collection not found"))</f>
        <v/>
      </c>
    </row>
    <row r="794">
      <c r="I794" s="10">
        <f>IF(OR(H794="",B794=""),"",IFERROR(ROUND(H794*MAX(VLOOKUP(B794,Collections!$B:$D,2,FALSE),VLOOKUP(B794,Collections!$B:$D,3,FALSE)*10.7639),0),"collection not found"))</f>
        <v/>
      </c>
    </row>
    <row r="795">
      <c r="I795" s="10">
        <f>IF(OR(H795="",B795=""),"",IFERROR(ROUND(H795*MAX(VLOOKUP(B795,Collections!$B:$D,2,FALSE),VLOOKUP(B795,Collections!$B:$D,3,FALSE)*10.7639),0),"collection not found"))</f>
        <v/>
      </c>
    </row>
    <row r="796">
      <c r="I796" s="10">
        <f>IF(OR(H796="",B796=""),"",IFERROR(ROUND(H796*MAX(VLOOKUP(B796,Collections!$B:$D,2,FALSE),VLOOKUP(B796,Collections!$B:$D,3,FALSE)*10.7639),0),"collection not found"))</f>
        <v/>
      </c>
    </row>
    <row r="797">
      <c r="I797" s="10">
        <f>IF(OR(H797="",B797=""),"",IFERROR(ROUND(H797*MAX(VLOOKUP(B797,Collections!$B:$D,2,FALSE),VLOOKUP(B797,Collections!$B:$D,3,FALSE)*10.7639),0),"collection not found"))</f>
        <v/>
      </c>
    </row>
    <row r="798">
      <c r="I798" s="10">
        <f>IF(OR(H798="",B798=""),"",IFERROR(ROUND(H798*MAX(VLOOKUP(B798,Collections!$B:$D,2,FALSE),VLOOKUP(B798,Collections!$B:$D,3,FALSE)*10.7639),0),"collection not found"))</f>
        <v/>
      </c>
    </row>
    <row r="799">
      <c r="I799" s="10">
        <f>IF(OR(H799="",B799=""),"",IFERROR(ROUND(H799*MAX(VLOOKUP(B799,Collections!$B:$D,2,FALSE),VLOOKUP(B799,Collections!$B:$D,3,FALSE)*10.7639),0),"collection not found"))</f>
        <v/>
      </c>
    </row>
    <row r="800">
      <c r="I800" s="10">
        <f>IF(OR(H800="",B800=""),"",IFERROR(ROUND(H800*MAX(VLOOKUP(B800,Collections!$B:$D,2,FALSE),VLOOKUP(B800,Collections!$B:$D,3,FALSE)*10.7639),0),"collection not found"))</f>
        <v/>
      </c>
    </row>
    <row r="801">
      <c r="I801" s="10">
        <f>IF(OR(H801="",B801=""),"",IFERROR(ROUND(H801*MAX(VLOOKUP(B801,Collections!$B:$D,2,FALSE),VLOOKUP(B801,Collections!$B:$D,3,FALSE)*10.7639),0),"collection not found"))</f>
        <v/>
      </c>
    </row>
    <row r="802">
      <c r="I802" s="10">
        <f>IF(OR(H802="",B802=""),"",IFERROR(ROUND(H802*MAX(VLOOKUP(B802,Collections!$B:$D,2,FALSE),VLOOKUP(B802,Collections!$B:$D,3,FALSE)*10.7639),0),"collection not found"))</f>
        <v/>
      </c>
    </row>
    <row r="803">
      <c r="I803" s="10">
        <f>IF(OR(H803="",B803=""),"",IFERROR(ROUND(H803*MAX(VLOOKUP(B803,Collections!$B:$D,2,FALSE),VLOOKUP(B803,Collections!$B:$D,3,FALSE)*10.7639),0),"collection not found"))</f>
        <v/>
      </c>
    </row>
    <row r="804">
      <c r="I804" s="10">
        <f>IF(OR(H804="",B804=""),"",IFERROR(ROUND(H804*MAX(VLOOKUP(B804,Collections!$B:$D,2,FALSE),VLOOKUP(B804,Collections!$B:$D,3,FALSE)*10.7639),0),"collection not found"))</f>
        <v/>
      </c>
    </row>
    <row r="805">
      <c r="I805" s="10">
        <f>IF(OR(H805="",B805=""),"",IFERROR(ROUND(H805*MAX(VLOOKUP(B805,Collections!$B:$D,2,FALSE),VLOOKUP(B805,Collections!$B:$D,3,FALSE)*10.7639),0),"collection not found"))</f>
        <v/>
      </c>
    </row>
    <row r="806">
      <c r="I806" s="10">
        <f>IF(OR(H806="",B806=""),"",IFERROR(ROUND(H806*MAX(VLOOKUP(B806,Collections!$B:$D,2,FALSE),VLOOKUP(B806,Collections!$B:$D,3,FALSE)*10.7639),0),"collection not found"))</f>
        <v/>
      </c>
    </row>
    <row r="807">
      <c r="I807" s="10">
        <f>IF(OR(H807="",B807=""),"",IFERROR(ROUND(H807*MAX(VLOOKUP(B807,Collections!$B:$D,2,FALSE),VLOOKUP(B807,Collections!$B:$D,3,FALSE)*10.7639),0),"collection not found"))</f>
        <v/>
      </c>
    </row>
    <row r="808">
      <c r="I808" s="10">
        <f>IF(OR(H808="",B808=""),"",IFERROR(ROUND(H808*MAX(VLOOKUP(B808,Collections!$B:$D,2,FALSE),VLOOKUP(B808,Collections!$B:$D,3,FALSE)*10.7639),0),"collection not found"))</f>
        <v/>
      </c>
    </row>
    <row r="809">
      <c r="I809" s="10">
        <f>IF(OR(H809="",B809=""),"",IFERROR(ROUND(H809*MAX(VLOOKUP(B809,Collections!$B:$D,2,FALSE),VLOOKUP(B809,Collections!$B:$D,3,FALSE)*10.7639),0),"collection not found"))</f>
        <v/>
      </c>
    </row>
    <row r="810">
      <c r="I810" s="10">
        <f>IF(OR(H810="",B810=""),"",IFERROR(ROUND(H810*MAX(VLOOKUP(B810,Collections!$B:$D,2,FALSE),VLOOKUP(B810,Collections!$B:$D,3,FALSE)*10.7639),0),"collection not found"))</f>
        <v/>
      </c>
    </row>
    <row r="811">
      <c r="I811" s="10">
        <f>IF(OR(H811="",B811=""),"",IFERROR(ROUND(H811*MAX(VLOOKUP(B811,Collections!$B:$D,2,FALSE),VLOOKUP(B811,Collections!$B:$D,3,FALSE)*10.7639),0),"collection not found"))</f>
        <v/>
      </c>
    </row>
    <row r="812">
      <c r="I812" s="10">
        <f>IF(OR(H812="",B812=""),"",IFERROR(ROUND(H812*MAX(VLOOKUP(B812,Collections!$B:$D,2,FALSE),VLOOKUP(B812,Collections!$B:$D,3,FALSE)*10.7639),0),"collection not found"))</f>
        <v/>
      </c>
    </row>
    <row r="813">
      <c r="I813" s="10">
        <f>IF(OR(H813="",B813=""),"",IFERROR(ROUND(H813*MAX(VLOOKUP(B813,Collections!$B:$D,2,FALSE),VLOOKUP(B813,Collections!$B:$D,3,FALSE)*10.7639),0),"collection not found"))</f>
        <v/>
      </c>
    </row>
    <row r="814">
      <c r="I814" s="10">
        <f>IF(OR(H814="",B814=""),"",IFERROR(ROUND(H814*MAX(VLOOKUP(B814,Collections!$B:$D,2,FALSE),VLOOKUP(B814,Collections!$B:$D,3,FALSE)*10.7639),0),"collection not found"))</f>
        <v/>
      </c>
    </row>
    <row r="815">
      <c r="I815" s="10">
        <f>IF(OR(H815="",B815=""),"",IFERROR(ROUND(H815*MAX(VLOOKUP(B815,Collections!$B:$D,2,FALSE),VLOOKUP(B815,Collections!$B:$D,3,FALSE)*10.7639),0),"collection not found"))</f>
        <v/>
      </c>
    </row>
    <row r="816">
      <c r="I816" s="10">
        <f>IF(OR(H816="",B816=""),"",IFERROR(ROUND(H816*MAX(VLOOKUP(B816,Collections!$B:$D,2,FALSE),VLOOKUP(B816,Collections!$B:$D,3,FALSE)*10.7639),0),"collection not found"))</f>
        <v/>
      </c>
    </row>
    <row r="817">
      <c r="I817" s="10">
        <f>IF(OR(H817="",B817=""),"",IFERROR(ROUND(H817*MAX(VLOOKUP(B817,Collections!$B:$D,2,FALSE),VLOOKUP(B817,Collections!$B:$D,3,FALSE)*10.7639),0),"collection not found"))</f>
        <v/>
      </c>
    </row>
    <row r="818">
      <c r="I818" s="10">
        <f>IF(OR(H818="",B818=""),"",IFERROR(ROUND(H818*MAX(VLOOKUP(B818,Collections!$B:$D,2,FALSE),VLOOKUP(B818,Collections!$B:$D,3,FALSE)*10.7639),0),"collection not found"))</f>
        <v/>
      </c>
    </row>
    <row r="819">
      <c r="I819" s="10">
        <f>IF(OR(H819="",B819=""),"",IFERROR(ROUND(H819*MAX(VLOOKUP(B819,Collections!$B:$D,2,FALSE),VLOOKUP(B819,Collections!$B:$D,3,FALSE)*10.7639),0),"collection not found"))</f>
        <v/>
      </c>
    </row>
    <row r="820">
      <c r="I820" s="10">
        <f>IF(OR(H820="",B820=""),"",IFERROR(ROUND(H820*MAX(VLOOKUP(B820,Collections!$B:$D,2,FALSE),VLOOKUP(B820,Collections!$B:$D,3,FALSE)*10.7639),0),"collection not found"))</f>
        <v/>
      </c>
    </row>
    <row r="821">
      <c r="I821" s="10">
        <f>IF(OR(H821="",B821=""),"",IFERROR(ROUND(H821*MAX(VLOOKUP(B821,Collections!$B:$D,2,FALSE),VLOOKUP(B821,Collections!$B:$D,3,FALSE)*10.7639),0),"collection not found"))</f>
        <v/>
      </c>
    </row>
    <row r="822">
      <c r="I822" s="10">
        <f>IF(OR(H822="",B822=""),"",IFERROR(ROUND(H822*MAX(VLOOKUP(B822,Collections!$B:$D,2,FALSE),VLOOKUP(B822,Collections!$B:$D,3,FALSE)*10.7639),0),"collection not found"))</f>
        <v/>
      </c>
    </row>
    <row r="823">
      <c r="I823" s="10">
        <f>IF(OR(H823="",B823=""),"",IFERROR(ROUND(H823*MAX(VLOOKUP(B823,Collections!$B:$D,2,FALSE),VLOOKUP(B823,Collections!$B:$D,3,FALSE)*10.7639),0),"collection not found"))</f>
        <v/>
      </c>
    </row>
    <row r="824">
      <c r="I824" s="10">
        <f>IF(OR(H824="",B824=""),"",IFERROR(ROUND(H824*MAX(VLOOKUP(B824,Collections!$B:$D,2,FALSE),VLOOKUP(B824,Collections!$B:$D,3,FALSE)*10.7639),0),"collection not found"))</f>
        <v/>
      </c>
    </row>
    <row r="825">
      <c r="I825" s="10">
        <f>IF(OR(H825="",B825=""),"",IFERROR(ROUND(H825*MAX(VLOOKUP(B825,Collections!$B:$D,2,FALSE),VLOOKUP(B825,Collections!$B:$D,3,FALSE)*10.7639),0),"collection not found"))</f>
        <v/>
      </c>
    </row>
    <row r="826">
      <c r="I826" s="10">
        <f>IF(OR(H826="",B826=""),"",IFERROR(ROUND(H826*MAX(VLOOKUP(B826,Collections!$B:$D,2,FALSE),VLOOKUP(B826,Collections!$B:$D,3,FALSE)*10.7639),0),"collection not found"))</f>
        <v/>
      </c>
    </row>
    <row r="827">
      <c r="I827" s="10">
        <f>IF(OR(H827="",B827=""),"",IFERROR(ROUND(H827*MAX(VLOOKUP(B827,Collections!$B:$D,2,FALSE),VLOOKUP(B827,Collections!$B:$D,3,FALSE)*10.7639),0),"collection not found"))</f>
        <v/>
      </c>
    </row>
    <row r="828">
      <c r="I828" s="10">
        <f>IF(OR(H828="",B828=""),"",IFERROR(ROUND(H828*MAX(VLOOKUP(B828,Collections!$B:$D,2,FALSE),VLOOKUP(B828,Collections!$B:$D,3,FALSE)*10.7639),0),"collection not found"))</f>
        <v/>
      </c>
    </row>
    <row r="829">
      <c r="I829" s="10">
        <f>IF(OR(H829="",B829=""),"",IFERROR(ROUND(H829*MAX(VLOOKUP(B829,Collections!$B:$D,2,FALSE),VLOOKUP(B829,Collections!$B:$D,3,FALSE)*10.7639),0),"collection not found"))</f>
        <v/>
      </c>
    </row>
    <row r="830">
      <c r="I830" s="10">
        <f>IF(OR(H830="",B830=""),"",IFERROR(ROUND(H830*MAX(VLOOKUP(B830,Collections!$B:$D,2,FALSE),VLOOKUP(B830,Collections!$B:$D,3,FALSE)*10.7639),0),"collection not found"))</f>
        <v/>
      </c>
    </row>
    <row r="831">
      <c r="I831" s="10">
        <f>IF(OR(H831="",B831=""),"",IFERROR(ROUND(H831*MAX(VLOOKUP(B831,Collections!$B:$D,2,FALSE),VLOOKUP(B831,Collections!$B:$D,3,FALSE)*10.7639),0),"collection not found"))</f>
        <v/>
      </c>
    </row>
    <row r="832">
      <c r="I832" s="10">
        <f>IF(OR(H832="",B832=""),"",IFERROR(ROUND(H832*MAX(VLOOKUP(B832,Collections!$B:$D,2,FALSE),VLOOKUP(B832,Collections!$B:$D,3,FALSE)*10.7639),0),"collection not found"))</f>
        <v/>
      </c>
    </row>
    <row r="833">
      <c r="I833" s="10">
        <f>IF(OR(H833="",B833=""),"",IFERROR(ROUND(H833*MAX(VLOOKUP(B833,Collections!$B:$D,2,FALSE),VLOOKUP(B833,Collections!$B:$D,3,FALSE)*10.7639),0),"collection not found"))</f>
        <v/>
      </c>
    </row>
    <row r="834">
      <c r="I834" s="10">
        <f>IF(OR(H834="",B834=""),"",IFERROR(ROUND(H834*MAX(VLOOKUP(B834,Collections!$B:$D,2,FALSE),VLOOKUP(B834,Collections!$B:$D,3,FALSE)*10.7639),0),"collection not found"))</f>
        <v/>
      </c>
    </row>
    <row r="835">
      <c r="I835" s="10">
        <f>IF(OR(H835="",B835=""),"",IFERROR(ROUND(H835*MAX(VLOOKUP(B835,Collections!$B:$D,2,FALSE),VLOOKUP(B835,Collections!$B:$D,3,FALSE)*10.7639),0),"collection not found"))</f>
        <v/>
      </c>
    </row>
    <row r="836">
      <c r="I836" s="10">
        <f>IF(OR(H836="",B836=""),"",IFERROR(ROUND(H836*MAX(VLOOKUP(B836,Collections!$B:$D,2,FALSE),VLOOKUP(B836,Collections!$B:$D,3,FALSE)*10.7639),0),"collection not found"))</f>
        <v/>
      </c>
    </row>
    <row r="837">
      <c r="I837" s="10">
        <f>IF(OR(H837="",B837=""),"",IFERROR(ROUND(H837*MAX(VLOOKUP(B837,Collections!$B:$D,2,FALSE),VLOOKUP(B837,Collections!$B:$D,3,FALSE)*10.7639),0),"collection not found"))</f>
        <v/>
      </c>
    </row>
    <row r="838">
      <c r="I838" s="10">
        <f>IF(OR(H838="",B838=""),"",IFERROR(ROUND(H838*MAX(VLOOKUP(B838,Collections!$B:$D,2,FALSE),VLOOKUP(B838,Collections!$B:$D,3,FALSE)*10.7639),0),"collection not found"))</f>
        <v/>
      </c>
    </row>
    <row r="839">
      <c r="I839" s="10">
        <f>IF(OR(H839="",B839=""),"",IFERROR(ROUND(H839*MAX(VLOOKUP(B839,Collections!$B:$D,2,FALSE),VLOOKUP(B839,Collections!$B:$D,3,FALSE)*10.7639),0),"collection not found"))</f>
        <v/>
      </c>
    </row>
    <row r="840">
      <c r="I840" s="10">
        <f>IF(OR(H840="",B840=""),"",IFERROR(ROUND(H840*MAX(VLOOKUP(B840,Collections!$B:$D,2,FALSE),VLOOKUP(B840,Collections!$B:$D,3,FALSE)*10.7639),0),"collection not found"))</f>
        <v/>
      </c>
    </row>
    <row r="841">
      <c r="I841" s="10">
        <f>IF(OR(H841="",B841=""),"",IFERROR(ROUND(H841*MAX(VLOOKUP(B841,Collections!$B:$D,2,FALSE),VLOOKUP(B841,Collections!$B:$D,3,FALSE)*10.7639),0),"collection not found"))</f>
        <v/>
      </c>
    </row>
    <row r="842">
      <c r="I842" s="10">
        <f>IF(OR(H842="",B842=""),"",IFERROR(ROUND(H842*MAX(VLOOKUP(B842,Collections!$B:$D,2,FALSE),VLOOKUP(B842,Collections!$B:$D,3,FALSE)*10.7639),0),"collection not found"))</f>
        <v/>
      </c>
    </row>
    <row r="843">
      <c r="I843" s="10">
        <f>IF(OR(H843="",B843=""),"",IFERROR(ROUND(H843*MAX(VLOOKUP(B843,Collections!$B:$D,2,FALSE),VLOOKUP(B843,Collections!$B:$D,3,FALSE)*10.7639),0),"collection not found"))</f>
        <v/>
      </c>
    </row>
    <row r="844">
      <c r="I844" s="10">
        <f>IF(OR(H844="",B844=""),"",IFERROR(ROUND(H844*MAX(VLOOKUP(B844,Collections!$B:$D,2,FALSE),VLOOKUP(B844,Collections!$B:$D,3,FALSE)*10.7639),0),"collection not found"))</f>
        <v/>
      </c>
    </row>
    <row r="845">
      <c r="I845" s="10">
        <f>IF(OR(H845="",B845=""),"",IFERROR(ROUND(H845*MAX(VLOOKUP(B845,Collections!$B:$D,2,FALSE),VLOOKUP(B845,Collections!$B:$D,3,FALSE)*10.7639),0),"collection not found"))</f>
        <v/>
      </c>
    </row>
    <row r="846">
      <c r="I846" s="10">
        <f>IF(OR(H846="",B846=""),"",IFERROR(ROUND(H846*MAX(VLOOKUP(B846,Collections!$B:$D,2,FALSE),VLOOKUP(B846,Collections!$B:$D,3,FALSE)*10.7639),0),"collection not found"))</f>
        <v/>
      </c>
    </row>
    <row r="847">
      <c r="I847" s="10">
        <f>IF(OR(H847="",B847=""),"",IFERROR(ROUND(H847*MAX(VLOOKUP(B847,Collections!$B:$D,2,FALSE),VLOOKUP(B847,Collections!$B:$D,3,FALSE)*10.7639),0),"collection not found"))</f>
        <v/>
      </c>
    </row>
    <row r="848">
      <c r="I848" s="10">
        <f>IF(OR(H848="",B848=""),"",IFERROR(ROUND(H848*MAX(VLOOKUP(B848,Collections!$B:$D,2,FALSE),VLOOKUP(B848,Collections!$B:$D,3,FALSE)*10.7639),0),"collection not found"))</f>
        <v/>
      </c>
    </row>
    <row r="849">
      <c r="I849" s="10">
        <f>IF(OR(H849="",B849=""),"",IFERROR(ROUND(H849*MAX(VLOOKUP(B849,Collections!$B:$D,2,FALSE),VLOOKUP(B849,Collections!$B:$D,3,FALSE)*10.7639),0),"collection not found"))</f>
        <v/>
      </c>
    </row>
    <row r="850">
      <c r="I850" s="10">
        <f>IF(OR(H850="",B850=""),"",IFERROR(ROUND(H850*MAX(VLOOKUP(B850,Collections!$B:$D,2,FALSE),VLOOKUP(B850,Collections!$B:$D,3,FALSE)*10.7639),0),"collection not found"))</f>
        <v/>
      </c>
    </row>
    <row r="851">
      <c r="I851" s="10">
        <f>IF(OR(H851="",B851=""),"",IFERROR(ROUND(H851*MAX(VLOOKUP(B851,Collections!$B:$D,2,FALSE),VLOOKUP(B851,Collections!$B:$D,3,FALSE)*10.7639),0),"collection not found"))</f>
        <v/>
      </c>
    </row>
    <row r="852">
      <c r="I852" s="10">
        <f>IF(OR(H852="",B852=""),"",IFERROR(ROUND(H852*MAX(VLOOKUP(B852,Collections!$B:$D,2,FALSE),VLOOKUP(B852,Collections!$B:$D,3,FALSE)*10.7639),0),"collection not found"))</f>
        <v/>
      </c>
    </row>
    <row r="853">
      <c r="I853" s="10">
        <f>IF(OR(H853="",B853=""),"",IFERROR(ROUND(H853*MAX(VLOOKUP(B853,Collections!$B:$D,2,FALSE),VLOOKUP(B853,Collections!$B:$D,3,FALSE)*10.7639),0),"collection not found"))</f>
        <v/>
      </c>
    </row>
    <row r="854">
      <c r="I854" s="10">
        <f>IF(OR(H854="",B854=""),"",IFERROR(ROUND(H854*MAX(VLOOKUP(B854,Collections!$B:$D,2,FALSE),VLOOKUP(B854,Collections!$B:$D,3,FALSE)*10.7639),0),"collection not found"))</f>
        <v/>
      </c>
    </row>
    <row r="855">
      <c r="I855" s="10">
        <f>IF(OR(H855="",B855=""),"",IFERROR(ROUND(H855*MAX(VLOOKUP(B855,Collections!$B:$D,2,FALSE),VLOOKUP(B855,Collections!$B:$D,3,FALSE)*10.7639),0),"collection not found"))</f>
        <v/>
      </c>
    </row>
    <row r="856">
      <c r="I856" s="10">
        <f>IF(OR(H856="",B856=""),"",IFERROR(ROUND(H856*MAX(VLOOKUP(B856,Collections!$B:$D,2,FALSE),VLOOKUP(B856,Collections!$B:$D,3,FALSE)*10.7639),0),"collection not found"))</f>
        <v/>
      </c>
    </row>
    <row r="857">
      <c r="I857" s="10">
        <f>IF(OR(H857="",B857=""),"",IFERROR(ROUND(H857*MAX(VLOOKUP(B857,Collections!$B:$D,2,FALSE),VLOOKUP(B857,Collections!$B:$D,3,FALSE)*10.7639),0),"collection not found"))</f>
        <v/>
      </c>
    </row>
    <row r="858">
      <c r="I858" s="10">
        <f>IF(OR(H858="",B858=""),"",IFERROR(ROUND(H858*MAX(VLOOKUP(B858,Collections!$B:$D,2,FALSE),VLOOKUP(B858,Collections!$B:$D,3,FALSE)*10.7639),0),"collection not found"))</f>
        <v/>
      </c>
    </row>
    <row r="859">
      <c r="I859" s="10">
        <f>IF(OR(H859="",B859=""),"",IFERROR(ROUND(H859*MAX(VLOOKUP(B859,Collections!$B:$D,2,FALSE),VLOOKUP(B859,Collections!$B:$D,3,FALSE)*10.7639),0),"collection not found"))</f>
        <v/>
      </c>
    </row>
    <row r="860">
      <c r="I860" s="10">
        <f>IF(OR(H860="",B860=""),"",IFERROR(ROUND(H860*MAX(VLOOKUP(B860,Collections!$B:$D,2,FALSE),VLOOKUP(B860,Collections!$B:$D,3,FALSE)*10.7639),0),"collection not found"))</f>
        <v/>
      </c>
    </row>
    <row r="861">
      <c r="I861" s="10">
        <f>IF(OR(H861="",B861=""),"",IFERROR(ROUND(H861*MAX(VLOOKUP(B861,Collections!$B:$D,2,FALSE),VLOOKUP(B861,Collections!$B:$D,3,FALSE)*10.7639),0),"collection not found"))</f>
        <v/>
      </c>
    </row>
    <row r="862">
      <c r="I862" s="10">
        <f>IF(OR(H862="",B862=""),"",IFERROR(ROUND(H862*MAX(VLOOKUP(B862,Collections!$B:$D,2,FALSE),VLOOKUP(B862,Collections!$B:$D,3,FALSE)*10.7639),0),"collection not found"))</f>
        <v/>
      </c>
    </row>
    <row r="863">
      <c r="I863" s="10">
        <f>IF(OR(H863="",B863=""),"",IFERROR(ROUND(H863*MAX(VLOOKUP(B863,Collections!$B:$D,2,FALSE),VLOOKUP(B863,Collections!$B:$D,3,FALSE)*10.7639),0),"collection not found"))</f>
        <v/>
      </c>
    </row>
    <row r="864">
      <c r="I864" s="10">
        <f>IF(OR(H864="",B864=""),"",IFERROR(ROUND(H864*MAX(VLOOKUP(B864,Collections!$B:$D,2,FALSE),VLOOKUP(B864,Collections!$B:$D,3,FALSE)*10.7639),0),"collection not found"))</f>
        <v/>
      </c>
    </row>
    <row r="865">
      <c r="I865" s="10">
        <f>IF(OR(H865="",B865=""),"",IFERROR(ROUND(H865*MAX(VLOOKUP(B865,Collections!$B:$D,2,FALSE),VLOOKUP(B865,Collections!$B:$D,3,FALSE)*10.7639),0),"collection not found"))</f>
        <v/>
      </c>
    </row>
    <row r="866">
      <c r="I866" s="10">
        <f>IF(OR(H866="",B866=""),"",IFERROR(ROUND(H866*MAX(VLOOKUP(B866,Collections!$B:$D,2,FALSE),VLOOKUP(B866,Collections!$B:$D,3,FALSE)*10.7639),0),"collection not found"))</f>
        <v/>
      </c>
    </row>
    <row r="867">
      <c r="I867" s="10">
        <f>IF(OR(H867="",B867=""),"",IFERROR(ROUND(H867*MAX(VLOOKUP(B867,Collections!$B:$D,2,FALSE),VLOOKUP(B867,Collections!$B:$D,3,FALSE)*10.7639),0),"collection not found"))</f>
        <v/>
      </c>
    </row>
    <row r="868">
      <c r="I868" s="10">
        <f>IF(OR(H868="",B868=""),"",IFERROR(ROUND(H868*MAX(VLOOKUP(B868,Collections!$B:$D,2,FALSE),VLOOKUP(B868,Collections!$B:$D,3,FALSE)*10.7639),0),"collection not found"))</f>
        <v/>
      </c>
    </row>
    <row r="869">
      <c r="I869" s="10">
        <f>IF(OR(H869="",B869=""),"",IFERROR(ROUND(H869*MAX(VLOOKUP(B869,Collections!$B:$D,2,FALSE),VLOOKUP(B869,Collections!$B:$D,3,FALSE)*10.7639),0),"collection not found"))</f>
        <v/>
      </c>
    </row>
    <row r="870">
      <c r="I870" s="10">
        <f>IF(OR(H870="",B870=""),"",IFERROR(ROUND(H870*MAX(VLOOKUP(B870,Collections!$B:$D,2,FALSE),VLOOKUP(B870,Collections!$B:$D,3,FALSE)*10.7639),0),"collection not found"))</f>
        <v/>
      </c>
    </row>
    <row r="871">
      <c r="I871" s="10">
        <f>IF(OR(H871="",B871=""),"",IFERROR(ROUND(H871*MAX(VLOOKUP(B871,Collections!$B:$D,2,FALSE),VLOOKUP(B871,Collections!$B:$D,3,FALSE)*10.7639),0),"collection not found"))</f>
        <v/>
      </c>
    </row>
    <row r="872">
      <c r="I872" s="10">
        <f>IF(OR(H872="",B872=""),"",IFERROR(ROUND(H872*MAX(VLOOKUP(B872,Collections!$B:$D,2,FALSE),VLOOKUP(B872,Collections!$B:$D,3,FALSE)*10.7639),0),"collection not found"))</f>
        <v/>
      </c>
    </row>
    <row r="873">
      <c r="I873" s="10">
        <f>IF(OR(H873="",B873=""),"",IFERROR(ROUND(H873*MAX(VLOOKUP(B873,Collections!$B:$D,2,FALSE),VLOOKUP(B873,Collections!$B:$D,3,FALSE)*10.7639),0),"collection not found"))</f>
        <v/>
      </c>
    </row>
    <row r="874">
      <c r="I874" s="10">
        <f>IF(OR(H874="",B874=""),"",IFERROR(ROUND(H874*MAX(VLOOKUP(B874,Collections!$B:$D,2,FALSE),VLOOKUP(B874,Collections!$B:$D,3,FALSE)*10.7639),0),"collection not found"))</f>
        <v/>
      </c>
    </row>
    <row r="875">
      <c r="I875" s="10">
        <f>IF(OR(H875="",B875=""),"",IFERROR(ROUND(H875*MAX(VLOOKUP(B875,Collections!$B:$D,2,FALSE),VLOOKUP(B875,Collections!$B:$D,3,FALSE)*10.7639),0),"collection not found"))</f>
        <v/>
      </c>
    </row>
    <row r="876">
      <c r="I876" s="10">
        <f>IF(OR(H876="",B876=""),"",IFERROR(ROUND(H876*MAX(VLOOKUP(B876,Collections!$B:$D,2,FALSE),VLOOKUP(B876,Collections!$B:$D,3,FALSE)*10.7639),0),"collection not found"))</f>
        <v/>
      </c>
    </row>
    <row r="877">
      <c r="I877" s="10">
        <f>IF(OR(H877="",B877=""),"",IFERROR(ROUND(H877*MAX(VLOOKUP(B877,Collections!$B:$D,2,FALSE),VLOOKUP(B877,Collections!$B:$D,3,FALSE)*10.7639),0),"collection not found"))</f>
        <v/>
      </c>
    </row>
    <row r="878">
      <c r="I878" s="10">
        <f>IF(OR(H878="",B878=""),"",IFERROR(ROUND(H878*MAX(VLOOKUP(B878,Collections!$B:$D,2,FALSE),VLOOKUP(B878,Collections!$B:$D,3,FALSE)*10.7639),0),"collection not found"))</f>
        <v/>
      </c>
    </row>
    <row r="879">
      <c r="I879" s="10">
        <f>IF(OR(H879="",B879=""),"",IFERROR(ROUND(H879*MAX(VLOOKUP(B879,Collections!$B:$D,2,FALSE),VLOOKUP(B879,Collections!$B:$D,3,FALSE)*10.7639),0),"collection not found"))</f>
        <v/>
      </c>
    </row>
    <row r="880">
      <c r="I880" s="10">
        <f>IF(OR(H880="",B880=""),"",IFERROR(ROUND(H880*MAX(VLOOKUP(B880,Collections!$B:$D,2,FALSE),VLOOKUP(B880,Collections!$B:$D,3,FALSE)*10.7639),0),"collection not found"))</f>
        <v/>
      </c>
    </row>
    <row r="881">
      <c r="I881" s="10">
        <f>IF(OR(H881="",B881=""),"",IFERROR(ROUND(H881*MAX(VLOOKUP(B881,Collections!$B:$D,2,FALSE),VLOOKUP(B881,Collections!$B:$D,3,FALSE)*10.7639),0),"collection not found"))</f>
        <v/>
      </c>
    </row>
    <row r="882">
      <c r="I882" s="10">
        <f>IF(OR(H882="",B882=""),"",IFERROR(ROUND(H882*MAX(VLOOKUP(B882,Collections!$B:$D,2,FALSE),VLOOKUP(B882,Collections!$B:$D,3,FALSE)*10.7639),0),"collection not found"))</f>
        <v/>
      </c>
    </row>
    <row r="883">
      <c r="I883" s="10">
        <f>IF(OR(H883="",B883=""),"",IFERROR(ROUND(H883*MAX(VLOOKUP(B883,Collections!$B:$D,2,FALSE),VLOOKUP(B883,Collections!$B:$D,3,FALSE)*10.7639),0),"collection not found"))</f>
        <v/>
      </c>
    </row>
    <row r="884">
      <c r="I884" s="10">
        <f>IF(OR(H884="",B884=""),"",IFERROR(ROUND(H884*MAX(VLOOKUP(B884,Collections!$B:$D,2,FALSE),VLOOKUP(B884,Collections!$B:$D,3,FALSE)*10.7639),0),"collection not found"))</f>
        <v/>
      </c>
    </row>
    <row r="885">
      <c r="I885" s="10">
        <f>IF(OR(H885="",B885=""),"",IFERROR(ROUND(H885*MAX(VLOOKUP(B885,Collections!$B:$D,2,FALSE),VLOOKUP(B885,Collections!$B:$D,3,FALSE)*10.7639),0),"collection not found"))</f>
        <v/>
      </c>
    </row>
    <row r="886">
      <c r="I886" s="10">
        <f>IF(OR(H886="",B886=""),"",IFERROR(ROUND(H886*MAX(VLOOKUP(B886,Collections!$B:$D,2,FALSE),VLOOKUP(B886,Collections!$B:$D,3,FALSE)*10.7639),0),"collection not found"))</f>
        <v/>
      </c>
    </row>
    <row r="887">
      <c r="I887" s="10">
        <f>IF(OR(H887="",B887=""),"",IFERROR(ROUND(H887*MAX(VLOOKUP(B887,Collections!$B:$D,2,FALSE),VLOOKUP(B887,Collections!$B:$D,3,FALSE)*10.7639),0),"collection not found"))</f>
        <v/>
      </c>
    </row>
    <row r="888">
      <c r="I888" s="10">
        <f>IF(OR(H888="",B888=""),"",IFERROR(ROUND(H888*MAX(VLOOKUP(B888,Collections!$B:$D,2,FALSE),VLOOKUP(B888,Collections!$B:$D,3,FALSE)*10.7639),0),"collection not found"))</f>
        <v/>
      </c>
    </row>
    <row r="889">
      <c r="I889" s="10">
        <f>IF(OR(H889="",B889=""),"",IFERROR(ROUND(H889*MAX(VLOOKUP(B889,Collections!$B:$D,2,FALSE),VLOOKUP(B889,Collections!$B:$D,3,FALSE)*10.7639),0),"collection not found"))</f>
        <v/>
      </c>
    </row>
    <row r="890">
      <c r="I890" s="10">
        <f>IF(OR(H890="",B890=""),"",IFERROR(ROUND(H890*MAX(VLOOKUP(B890,Collections!$B:$D,2,FALSE),VLOOKUP(B890,Collections!$B:$D,3,FALSE)*10.7639),0),"collection not found"))</f>
        <v/>
      </c>
    </row>
    <row r="891">
      <c r="I891" s="10">
        <f>IF(OR(H891="",B891=""),"",IFERROR(ROUND(H891*MAX(VLOOKUP(B891,Collections!$B:$D,2,FALSE),VLOOKUP(B891,Collections!$B:$D,3,FALSE)*10.7639),0),"collection not found"))</f>
        <v/>
      </c>
    </row>
    <row r="892">
      <c r="I892" s="10">
        <f>IF(OR(H892="",B892=""),"",IFERROR(ROUND(H892*MAX(VLOOKUP(B892,Collections!$B:$D,2,FALSE),VLOOKUP(B892,Collections!$B:$D,3,FALSE)*10.7639),0),"collection not found"))</f>
        <v/>
      </c>
    </row>
    <row r="893">
      <c r="I893" s="10">
        <f>IF(OR(H893="",B893=""),"",IFERROR(ROUND(H893*MAX(VLOOKUP(B893,Collections!$B:$D,2,FALSE),VLOOKUP(B893,Collections!$B:$D,3,FALSE)*10.7639),0),"collection not found"))</f>
        <v/>
      </c>
    </row>
    <row r="894">
      <c r="I894" s="10">
        <f>IF(OR(H894="",B894=""),"",IFERROR(ROUND(H894*MAX(VLOOKUP(B894,Collections!$B:$D,2,FALSE),VLOOKUP(B894,Collections!$B:$D,3,FALSE)*10.7639),0),"collection not found"))</f>
        <v/>
      </c>
    </row>
    <row r="895">
      <c r="I895" s="10">
        <f>IF(OR(H895="",B895=""),"",IFERROR(ROUND(H895*MAX(VLOOKUP(B895,Collections!$B:$D,2,FALSE),VLOOKUP(B895,Collections!$B:$D,3,FALSE)*10.7639),0),"collection not found"))</f>
        <v/>
      </c>
    </row>
    <row r="896">
      <c r="I896" s="10">
        <f>IF(OR(H896="",B896=""),"",IFERROR(ROUND(H896*MAX(VLOOKUP(B896,Collections!$B:$D,2,FALSE),VLOOKUP(B896,Collections!$B:$D,3,FALSE)*10.7639),0),"collection not found"))</f>
        <v/>
      </c>
    </row>
    <row r="897">
      <c r="I897" s="10">
        <f>IF(OR(H897="",B897=""),"",IFERROR(ROUND(H897*MAX(VLOOKUP(B897,Collections!$B:$D,2,FALSE),VLOOKUP(B897,Collections!$B:$D,3,FALSE)*10.7639),0),"collection not found"))</f>
        <v/>
      </c>
    </row>
    <row r="898">
      <c r="I898" s="10">
        <f>IF(OR(H898="",B898=""),"",IFERROR(ROUND(H898*MAX(VLOOKUP(B898,Collections!$B:$D,2,FALSE),VLOOKUP(B898,Collections!$B:$D,3,FALSE)*10.7639),0),"collection not found"))</f>
        <v/>
      </c>
    </row>
    <row r="899">
      <c r="I899" s="10">
        <f>IF(OR(H899="",B899=""),"",IFERROR(ROUND(H899*MAX(VLOOKUP(B899,Collections!$B:$D,2,FALSE),VLOOKUP(B899,Collections!$B:$D,3,FALSE)*10.7639),0),"collection not found"))</f>
        <v/>
      </c>
    </row>
    <row r="900">
      <c r="I900" s="10">
        <f>IF(OR(H900="",B900=""),"",IFERROR(ROUND(H900*MAX(VLOOKUP(B900,Collections!$B:$D,2,FALSE),VLOOKUP(B900,Collections!$B:$D,3,FALSE)*10.7639),0),"collection not found"))</f>
        <v/>
      </c>
    </row>
    <row r="901">
      <c r="I901" s="10">
        <f>IF(OR(H901="",B901=""),"",IFERROR(ROUND(H901*MAX(VLOOKUP(B901,Collections!$B:$D,2,FALSE),VLOOKUP(B901,Collections!$B:$D,3,FALSE)*10.7639),0),"collection not found"))</f>
        <v/>
      </c>
    </row>
    <row r="902">
      <c r="I902" s="10">
        <f>IF(OR(H902="",B902=""),"",IFERROR(ROUND(H902*MAX(VLOOKUP(B902,Collections!$B:$D,2,FALSE),VLOOKUP(B902,Collections!$B:$D,3,FALSE)*10.7639),0),"collection not found"))</f>
        <v/>
      </c>
    </row>
    <row r="903">
      <c r="I903" s="10">
        <f>IF(OR(H903="",B903=""),"",IFERROR(ROUND(H903*MAX(VLOOKUP(B903,Collections!$B:$D,2,FALSE),VLOOKUP(B903,Collections!$B:$D,3,FALSE)*10.7639),0),"collection not found"))</f>
        <v/>
      </c>
    </row>
    <row r="904">
      <c r="I904" s="10">
        <f>IF(OR(H904="",B904=""),"",IFERROR(ROUND(H904*MAX(VLOOKUP(B904,Collections!$B:$D,2,FALSE),VLOOKUP(B904,Collections!$B:$D,3,FALSE)*10.7639),0),"collection not found"))</f>
        <v/>
      </c>
    </row>
    <row r="905">
      <c r="I905" s="10">
        <f>IF(OR(H905="",B905=""),"",IFERROR(ROUND(H905*MAX(VLOOKUP(B905,Collections!$B:$D,2,FALSE),VLOOKUP(B905,Collections!$B:$D,3,FALSE)*10.7639),0),"collection not found"))</f>
        <v/>
      </c>
    </row>
    <row r="906">
      <c r="I906" s="10">
        <f>IF(OR(H906="",B906=""),"",IFERROR(ROUND(H906*MAX(VLOOKUP(B906,Collections!$B:$D,2,FALSE),VLOOKUP(B906,Collections!$B:$D,3,FALSE)*10.7639),0),"collection not found"))</f>
        <v/>
      </c>
    </row>
    <row r="907">
      <c r="I907" s="10">
        <f>IF(OR(H907="",B907=""),"",IFERROR(ROUND(H907*MAX(VLOOKUP(B907,Collections!$B:$D,2,FALSE),VLOOKUP(B907,Collections!$B:$D,3,FALSE)*10.7639),0),"collection not found"))</f>
        <v/>
      </c>
    </row>
    <row r="908">
      <c r="I908" s="10">
        <f>IF(OR(H908="",B908=""),"",IFERROR(ROUND(H908*MAX(VLOOKUP(B908,Collections!$B:$D,2,FALSE),VLOOKUP(B908,Collections!$B:$D,3,FALSE)*10.7639),0),"collection not found"))</f>
        <v/>
      </c>
    </row>
    <row r="909">
      <c r="I909" s="10">
        <f>IF(OR(H909="",B909=""),"",IFERROR(ROUND(H909*MAX(VLOOKUP(B909,Collections!$B:$D,2,FALSE),VLOOKUP(B909,Collections!$B:$D,3,FALSE)*10.7639),0),"collection not found"))</f>
        <v/>
      </c>
    </row>
    <row r="910">
      <c r="I910" s="10">
        <f>IF(OR(H910="",B910=""),"",IFERROR(ROUND(H910*MAX(VLOOKUP(B910,Collections!$B:$D,2,FALSE),VLOOKUP(B910,Collections!$B:$D,3,FALSE)*10.7639),0),"collection not found"))</f>
        <v/>
      </c>
    </row>
    <row r="911">
      <c r="I911" s="10">
        <f>IF(OR(H911="",B911=""),"",IFERROR(ROUND(H911*MAX(VLOOKUP(B911,Collections!$B:$D,2,FALSE),VLOOKUP(B911,Collections!$B:$D,3,FALSE)*10.7639),0),"collection not found"))</f>
        <v/>
      </c>
    </row>
    <row r="912">
      <c r="I912" s="10">
        <f>IF(OR(H912="",B912=""),"",IFERROR(ROUND(H912*MAX(VLOOKUP(B912,Collections!$B:$D,2,FALSE),VLOOKUP(B912,Collections!$B:$D,3,FALSE)*10.7639),0),"collection not found"))</f>
        <v/>
      </c>
    </row>
    <row r="913">
      <c r="I913" s="10">
        <f>IF(OR(H913="",B913=""),"",IFERROR(ROUND(H913*MAX(VLOOKUP(B913,Collections!$B:$D,2,FALSE),VLOOKUP(B913,Collections!$B:$D,3,FALSE)*10.7639),0),"collection not found"))</f>
        <v/>
      </c>
    </row>
    <row r="914">
      <c r="I914" s="10">
        <f>IF(OR(H914="",B914=""),"",IFERROR(ROUND(H914*MAX(VLOOKUP(B914,Collections!$B:$D,2,FALSE),VLOOKUP(B914,Collections!$B:$D,3,FALSE)*10.7639),0),"collection not found"))</f>
        <v/>
      </c>
    </row>
    <row r="915">
      <c r="I915" s="10">
        <f>IF(OR(H915="",B915=""),"",IFERROR(ROUND(H915*MAX(VLOOKUP(B915,Collections!$B:$D,2,FALSE),VLOOKUP(B915,Collections!$B:$D,3,FALSE)*10.7639),0),"collection not found"))</f>
        <v/>
      </c>
    </row>
    <row r="916">
      <c r="I916" s="10">
        <f>IF(OR(H916="",B916=""),"",IFERROR(ROUND(H916*MAX(VLOOKUP(B916,Collections!$B:$D,2,FALSE),VLOOKUP(B916,Collections!$B:$D,3,FALSE)*10.7639),0),"collection not found"))</f>
        <v/>
      </c>
    </row>
    <row r="917">
      <c r="I917" s="10">
        <f>IF(OR(H917="",B917=""),"",IFERROR(ROUND(H917*MAX(VLOOKUP(B917,Collections!$B:$D,2,FALSE),VLOOKUP(B917,Collections!$B:$D,3,FALSE)*10.7639),0),"collection not found"))</f>
        <v/>
      </c>
    </row>
    <row r="918">
      <c r="I918" s="10">
        <f>IF(OR(H918="",B918=""),"",IFERROR(ROUND(H918*MAX(VLOOKUP(B918,Collections!$B:$D,2,FALSE),VLOOKUP(B918,Collections!$B:$D,3,FALSE)*10.7639),0),"collection not found"))</f>
        <v/>
      </c>
    </row>
    <row r="919">
      <c r="I919" s="10">
        <f>IF(OR(H919="",B919=""),"",IFERROR(ROUND(H919*MAX(VLOOKUP(B919,Collections!$B:$D,2,FALSE),VLOOKUP(B919,Collections!$B:$D,3,FALSE)*10.7639),0),"collection not found"))</f>
        <v/>
      </c>
    </row>
    <row r="920">
      <c r="I920" s="10">
        <f>IF(OR(H920="",B920=""),"",IFERROR(ROUND(H920*MAX(VLOOKUP(B920,Collections!$B:$D,2,FALSE),VLOOKUP(B920,Collections!$B:$D,3,FALSE)*10.7639),0),"collection not found"))</f>
        <v/>
      </c>
    </row>
    <row r="921">
      <c r="I921" s="10">
        <f>IF(OR(H921="",B921=""),"",IFERROR(ROUND(H921*MAX(VLOOKUP(B921,Collections!$B:$D,2,FALSE),VLOOKUP(B921,Collections!$B:$D,3,FALSE)*10.7639),0),"collection not found"))</f>
        <v/>
      </c>
    </row>
    <row r="922">
      <c r="I922" s="10">
        <f>IF(OR(H922="",B922=""),"",IFERROR(ROUND(H922*MAX(VLOOKUP(B922,Collections!$B:$D,2,FALSE),VLOOKUP(B922,Collections!$B:$D,3,FALSE)*10.7639),0),"collection not found"))</f>
        <v/>
      </c>
    </row>
    <row r="923">
      <c r="I923" s="10">
        <f>IF(OR(H923="",B923=""),"",IFERROR(ROUND(H923*MAX(VLOOKUP(B923,Collections!$B:$D,2,FALSE),VLOOKUP(B923,Collections!$B:$D,3,FALSE)*10.7639),0),"collection not found"))</f>
        <v/>
      </c>
    </row>
    <row r="924">
      <c r="I924" s="10">
        <f>IF(OR(H924="",B924=""),"",IFERROR(ROUND(H924*MAX(VLOOKUP(B924,Collections!$B:$D,2,FALSE),VLOOKUP(B924,Collections!$B:$D,3,FALSE)*10.7639),0),"collection not found"))</f>
        <v/>
      </c>
    </row>
    <row r="925">
      <c r="I925" s="10">
        <f>IF(OR(H925="",B925=""),"",IFERROR(ROUND(H925*MAX(VLOOKUP(B925,Collections!$B:$D,2,FALSE),VLOOKUP(B925,Collections!$B:$D,3,FALSE)*10.7639),0),"collection not found"))</f>
        <v/>
      </c>
    </row>
    <row r="926">
      <c r="I926" s="10">
        <f>IF(OR(H926="",B926=""),"",IFERROR(ROUND(H926*MAX(VLOOKUP(B926,Collections!$B:$D,2,FALSE),VLOOKUP(B926,Collections!$B:$D,3,FALSE)*10.7639),0),"collection not found"))</f>
        <v/>
      </c>
    </row>
    <row r="927">
      <c r="I927" s="10">
        <f>IF(OR(H927="",B927=""),"",IFERROR(ROUND(H927*MAX(VLOOKUP(B927,Collections!$B:$D,2,FALSE),VLOOKUP(B927,Collections!$B:$D,3,FALSE)*10.7639),0),"collection not found"))</f>
        <v/>
      </c>
    </row>
    <row r="928">
      <c r="I928" s="10">
        <f>IF(OR(H928="",B928=""),"",IFERROR(ROUND(H928*MAX(VLOOKUP(B928,Collections!$B:$D,2,FALSE),VLOOKUP(B928,Collections!$B:$D,3,FALSE)*10.7639),0),"collection not found"))</f>
        <v/>
      </c>
    </row>
    <row r="929">
      <c r="I929" s="10">
        <f>IF(OR(H929="",B929=""),"",IFERROR(ROUND(H929*MAX(VLOOKUP(B929,Collections!$B:$D,2,FALSE),VLOOKUP(B929,Collections!$B:$D,3,FALSE)*10.7639),0),"collection not found"))</f>
        <v/>
      </c>
    </row>
    <row r="930">
      <c r="I930" s="10">
        <f>IF(OR(H930="",B930=""),"",IFERROR(ROUND(H930*MAX(VLOOKUP(B930,Collections!$B:$D,2,FALSE),VLOOKUP(B930,Collections!$B:$D,3,FALSE)*10.7639),0),"collection not found"))</f>
        <v/>
      </c>
    </row>
    <row r="931">
      <c r="I931" s="10">
        <f>IF(OR(H931="",B931=""),"",IFERROR(ROUND(H931*MAX(VLOOKUP(B931,Collections!$B:$D,2,FALSE),VLOOKUP(B931,Collections!$B:$D,3,FALSE)*10.7639),0),"collection not found"))</f>
        <v/>
      </c>
    </row>
    <row r="932">
      <c r="I932" s="10">
        <f>IF(OR(H932="",B932=""),"",IFERROR(ROUND(H932*MAX(VLOOKUP(B932,Collections!$B:$D,2,FALSE),VLOOKUP(B932,Collections!$B:$D,3,FALSE)*10.7639),0),"collection not found"))</f>
        <v/>
      </c>
    </row>
    <row r="933">
      <c r="I933" s="10">
        <f>IF(OR(H933="",B933=""),"",IFERROR(ROUND(H933*MAX(VLOOKUP(B933,Collections!$B:$D,2,FALSE),VLOOKUP(B933,Collections!$B:$D,3,FALSE)*10.7639),0),"collection not found"))</f>
        <v/>
      </c>
    </row>
    <row r="934">
      <c r="I934" s="10">
        <f>IF(OR(H934="",B934=""),"",IFERROR(ROUND(H934*MAX(VLOOKUP(B934,Collections!$B:$D,2,FALSE),VLOOKUP(B934,Collections!$B:$D,3,FALSE)*10.7639),0),"collection not found"))</f>
        <v/>
      </c>
    </row>
    <row r="935">
      <c r="I935" s="10">
        <f>IF(OR(H935="",B935=""),"",IFERROR(ROUND(H935*MAX(VLOOKUP(B935,Collections!$B:$D,2,FALSE),VLOOKUP(B935,Collections!$B:$D,3,FALSE)*10.7639),0),"collection not found"))</f>
        <v/>
      </c>
    </row>
    <row r="936">
      <c r="I936" s="10">
        <f>IF(OR(H936="",B936=""),"",IFERROR(ROUND(H936*MAX(VLOOKUP(B936,Collections!$B:$D,2,FALSE),VLOOKUP(B936,Collections!$B:$D,3,FALSE)*10.7639),0),"collection not found"))</f>
        <v/>
      </c>
    </row>
    <row r="937">
      <c r="I937" s="10">
        <f>IF(OR(H937="",B937=""),"",IFERROR(ROUND(H937*MAX(VLOOKUP(B937,Collections!$B:$D,2,FALSE),VLOOKUP(B937,Collections!$B:$D,3,FALSE)*10.7639),0),"collection not found"))</f>
        <v/>
      </c>
    </row>
    <row r="938">
      <c r="I938" s="10">
        <f>IF(OR(H938="",B938=""),"",IFERROR(ROUND(H938*MAX(VLOOKUP(B938,Collections!$B:$D,2,FALSE),VLOOKUP(B938,Collections!$B:$D,3,FALSE)*10.7639),0),"collection not found"))</f>
        <v/>
      </c>
    </row>
    <row r="939">
      <c r="I939" s="10">
        <f>IF(OR(H939="",B939=""),"",IFERROR(ROUND(H939*MAX(VLOOKUP(B939,Collections!$B:$D,2,FALSE),VLOOKUP(B939,Collections!$B:$D,3,FALSE)*10.7639),0),"collection not found"))</f>
        <v/>
      </c>
    </row>
    <row r="940">
      <c r="I940" s="10">
        <f>IF(OR(H940="",B940=""),"",IFERROR(ROUND(H940*MAX(VLOOKUP(B940,Collections!$B:$D,2,FALSE),VLOOKUP(B940,Collections!$B:$D,3,FALSE)*10.7639),0),"collection not found"))</f>
        <v/>
      </c>
    </row>
    <row r="941">
      <c r="I941" s="10">
        <f>IF(OR(H941="",B941=""),"",IFERROR(ROUND(H941*MAX(VLOOKUP(B941,Collections!$B:$D,2,FALSE),VLOOKUP(B941,Collections!$B:$D,3,FALSE)*10.7639),0),"collection not found"))</f>
        <v/>
      </c>
    </row>
    <row r="942">
      <c r="I942" s="10">
        <f>IF(OR(H942="",B942=""),"",IFERROR(ROUND(H942*MAX(VLOOKUP(B942,Collections!$B:$D,2,FALSE),VLOOKUP(B942,Collections!$B:$D,3,FALSE)*10.7639),0),"collection not found"))</f>
        <v/>
      </c>
    </row>
    <row r="943">
      <c r="I943" s="10">
        <f>IF(OR(H943="",B943=""),"",IFERROR(ROUND(H943*MAX(VLOOKUP(B943,Collections!$B:$D,2,FALSE),VLOOKUP(B943,Collections!$B:$D,3,FALSE)*10.7639),0),"collection not found"))</f>
        <v/>
      </c>
    </row>
    <row r="944">
      <c r="I944" s="10">
        <f>IF(OR(H944="",B944=""),"",IFERROR(ROUND(H944*MAX(VLOOKUP(B944,Collections!$B:$D,2,FALSE),VLOOKUP(B944,Collections!$B:$D,3,FALSE)*10.7639),0),"collection not found"))</f>
        <v/>
      </c>
    </row>
    <row r="945">
      <c r="I945" s="10">
        <f>IF(OR(H945="",B945=""),"",IFERROR(ROUND(H945*MAX(VLOOKUP(B945,Collections!$B:$D,2,FALSE),VLOOKUP(B945,Collections!$B:$D,3,FALSE)*10.7639),0),"collection not found"))</f>
        <v/>
      </c>
    </row>
    <row r="946">
      <c r="I946" s="10">
        <f>IF(OR(H946="",B946=""),"",IFERROR(ROUND(H946*MAX(VLOOKUP(B946,Collections!$B:$D,2,FALSE),VLOOKUP(B946,Collections!$B:$D,3,FALSE)*10.7639),0),"collection not found"))</f>
        <v/>
      </c>
    </row>
    <row r="947">
      <c r="I947" s="10">
        <f>IF(OR(H947="",B947=""),"",IFERROR(ROUND(H947*MAX(VLOOKUP(B947,Collections!$B:$D,2,FALSE),VLOOKUP(B947,Collections!$B:$D,3,FALSE)*10.7639),0),"collection not found"))</f>
        <v/>
      </c>
    </row>
    <row r="948">
      <c r="I948" s="10">
        <f>IF(OR(H948="",B948=""),"",IFERROR(ROUND(H948*MAX(VLOOKUP(B948,Collections!$B:$D,2,FALSE),VLOOKUP(B948,Collections!$B:$D,3,FALSE)*10.7639),0),"collection not found"))</f>
        <v/>
      </c>
    </row>
    <row r="949">
      <c r="I949" s="10">
        <f>IF(OR(H949="",B949=""),"",IFERROR(ROUND(H949*MAX(VLOOKUP(B949,Collections!$B:$D,2,FALSE),VLOOKUP(B949,Collections!$B:$D,3,FALSE)*10.7639),0),"collection not found"))</f>
        <v/>
      </c>
    </row>
    <row r="950">
      <c r="I950" s="10">
        <f>IF(OR(H950="",B950=""),"",IFERROR(ROUND(H950*MAX(VLOOKUP(B950,Collections!$B:$D,2,FALSE),VLOOKUP(B950,Collections!$B:$D,3,FALSE)*10.7639),0),"collection not found"))</f>
        <v/>
      </c>
    </row>
    <row r="951">
      <c r="I951" s="10">
        <f>IF(OR(H951="",B951=""),"",IFERROR(ROUND(H951*MAX(VLOOKUP(B951,Collections!$B:$D,2,FALSE),VLOOKUP(B951,Collections!$B:$D,3,FALSE)*10.7639),0),"collection not found"))</f>
        <v/>
      </c>
    </row>
    <row r="952">
      <c r="I952" s="10">
        <f>IF(OR(H952="",B952=""),"",IFERROR(ROUND(H952*MAX(VLOOKUP(B952,Collections!$B:$D,2,FALSE),VLOOKUP(B952,Collections!$B:$D,3,FALSE)*10.7639),0),"collection not found"))</f>
        <v/>
      </c>
    </row>
    <row r="953">
      <c r="I953" s="10">
        <f>IF(OR(H953="",B953=""),"",IFERROR(ROUND(H953*MAX(VLOOKUP(B953,Collections!$B:$D,2,FALSE),VLOOKUP(B953,Collections!$B:$D,3,FALSE)*10.7639),0),"collection not found"))</f>
        <v/>
      </c>
    </row>
    <row r="954">
      <c r="I954" s="10">
        <f>IF(OR(H954="",B954=""),"",IFERROR(ROUND(H954*MAX(VLOOKUP(B954,Collections!$B:$D,2,FALSE),VLOOKUP(B954,Collections!$B:$D,3,FALSE)*10.7639),0),"collection not found"))</f>
        <v/>
      </c>
    </row>
    <row r="955">
      <c r="I955" s="10">
        <f>IF(OR(H955="",B955=""),"",IFERROR(ROUND(H955*MAX(VLOOKUP(B955,Collections!$B:$D,2,FALSE),VLOOKUP(B955,Collections!$B:$D,3,FALSE)*10.7639),0),"collection not found"))</f>
        <v/>
      </c>
    </row>
    <row r="956">
      <c r="I956" s="10">
        <f>IF(OR(H956="",B956=""),"",IFERROR(ROUND(H956*MAX(VLOOKUP(B956,Collections!$B:$D,2,FALSE),VLOOKUP(B956,Collections!$B:$D,3,FALSE)*10.7639),0),"collection not found"))</f>
        <v/>
      </c>
    </row>
    <row r="957">
      <c r="I957" s="10">
        <f>IF(OR(H957="",B957=""),"",IFERROR(ROUND(H957*MAX(VLOOKUP(B957,Collections!$B:$D,2,FALSE),VLOOKUP(B957,Collections!$B:$D,3,FALSE)*10.7639),0),"collection not found"))</f>
        <v/>
      </c>
    </row>
    <row r="958">
      <c r="I958" s="10">
        <f>IF(OR(H958="",B958=""),"",IFERROR(ROUND(H958*MAX(VLOOKUP(B958,Collections!$B:$D,2,FALSE),VLOOKUP(B958,Collections!$B:$D,3,FALSE)*10.7639),0),"collection not found"))</f>
        <v/>
      </c>
    </row>
    <row r="959">
      <c r="I959" s="10">
        <f>IF(OR(H959="",B959=""),"",IFERROR(ROUND(H959*MAX(VLOOKUP(B959,Collections!$B:$D,2,FALSE),VLOOKUP(B959,Collections!$B:$D,3,FALSE)*10.7639),0),"collection not found"))</f>
        <v/>
      </c>
    </row>
    <row r="960">
      <c r="I960" s="10">
        <f>IF(OR(H960="",B960=""),"",IFERROR(ROUND(H960*MAX(VLOOKUP(B960,Collections!$B:$D,2,FALSE),VLOOKUP(B960,Collections!$B:$D,3,FALSE)*10.7639),0),"collection not found"))</f>
        <v/>
      </c>
    </row>
    <row r="961">
      <c r="I961" s="10">
        <f>IF(OR(H961="",B961=""),"",IFERROR(ROUND(H961*MAX(VLOOKUP(B961,Collections!$B:$D,2,FALSE),VLOOKUP(B961,Collections!$B:$D,3,FALSE)*10.7639),0),"collection not found"))</f>
        <v/>
      </c>
    </row>
    <row r="962">
      <c r="I962" s="10">
        <f>IF(OR(H962="",B962=""),"",IFERROR(ROUND(H962*MAX(VLOOKUP(B962,Collections!$B:$D,2,FALSE),VLOOKUP(B962,Collections!$B:$D,3,FALSE)*10.7639),0),"collection not found"))</f>
        <v/>
      </c>
    </row>
    <row r="963">
      <c r="I963" s="10">
        <f>IF(OR(H963="",B963=""),"",IFERROR(ROUND(H963*MAX(VLOOKUP(B963,Collections!$B:$D,2,FALSE),VLOOKUP(B963,Collections!$B:$D,3,FALSE)*10.7639),0),"collection not found"))</f>
        <v/>
      </c>
    </row>
    <row r="964">
      <c r="I964" s="10">
        <f>IF(OR(H964="",B964=""),"",IFERROR(ROUND(H964*MAX(VLOOKUP(B964,Collections!$B:$D,2,FALSE),VLOOKUP(B964,Collections!$B:$D,3,FALSE)*10.7639),0),"collection not found"))</f>
        <v/>
      </c>
    </row>
    <row r="965">
      <c r="I965" s="10">
        <f>IF(OR(H965="",B965=""),"",IFERROR(ROUND(H965*MAX(VLOOKUP(B965,Collections!$B:$D,2,FALSE),VLOOKUP(B965,Collections!$B:$D,3,FALSE)*10.7639),0),"collection not found"))</f>
        <v/>
      </c>
    </row>
    <row r="966">
      <c r="I966" s="10">
        <f>IF(OR(H966="",B966=""),"",IFERROR(ROUND(H966*MAX(VLOOKUP(B966,Collections!$B:$D,2,FALSE),VLOOKUP(B966,Collections!$B:$D,3,FALSE)*10.7639),0),"collection not found"))</f>
        <v/>
      </c>
    </row>
    <row r="967">
      <c r="I967" s="10">
        <f>IF(OR(H967="",B967=""),"",IFERROR(ROUND(H967*MAX(VLOOKUP(B967,Collections!$B:$D,2,FALSE),VLOOKUP(B967,Collections!$B:$D,3,FALSE)*10.7639),0),"collection not found"))</f>
        <v/>
      </c>
    </row>
    <row r="968">
      <c r="I968" s="10">
        <f>IF(OR(H968="",B968=""),"",IFERROR(ROUND(H968*MAX(VLOOKUP(B968,Collections!$B:$D,2,FALSE),VLOOKUP(B968,Collections!$B:$D,3,FALSE)*10.7639),0),"collection not found"))</f>
        <v/>
      </c>
    </row>
    <row r="969">
      <c r="I969" s="10">
        <f>IF(OR(H969="",B969=""),"",IFERROR(ROUND(H969*MAX(VLOOKUP(B969,Collections!$B:$D,2,FALSE),VLOOKUP(B969,Collections!$B:$D,3,FALSE)*10.7639),0),"collection not found"))</f>
        <v/>
      </c>
    </row>
    <row r="970">
      <c r="I970" s="10">
        <f>IF(OR(H970="",B970=""),"",IFERROR(ROUND(H970*MAX(VLOOKUP(B970,Collections!$B:$D,2,FALSE),VLOOKUP(B970,Collections!$B:$D,3,FALSE)*10.7639),0),"collection not found"))</f>
        <v/>
      </c>
    </row>
    <row r="971">
      <c r="I971" s="10">
        <f>IF(OR(H971="",B971=""),"",IFERROR(ROUND(H971*MAX(VLOOKUP(B971,Collections!$B:$D,2,FALSE),VLOOKUP(B971,Collections!$B:$D,3,FALSE)*10.7639),0),"collection not found"))</f>
        <v/>
      </c>
    </row>
    <row r="972">
      <c r="I972" s="10">
        <f>IF(OR(H972="",B972=""),"",IFERROR(ROUND(H972*MAX(VLOOKUP(B972,Collections!$B:$D,2,FALSE),VLOOKUP(B972,Collections!$B:$D,3,FALSE)*10.7639),0),"collection not found"))</f>
        <v/>
      </c>
    </row>
    <row r="973">
      <c r="I973" s="10">
        <f>IF(OR(H973="",B973=""),"",IFERROR(ROUND(H973*MAX(VLOOKUP(B973,Collections!$B:$D,2,FALSE),VLOOKUP(B973,Collections!$B:$D,3,FALSE)*10.7639),0),"collection not found"))</f>
        <v/>
      </c>
    </row>
    <row r="974">
      <c r="I974" s="10">
        <f>IF(OR(H974="",B974=""),"",IFERROR(ROUND(H974*MAX(VLOOKUP(B974,Collections!$B:$D,2,FALSE),VLOOKUP(B974,Collections!$B:$D,3,FALSE)*10.7639),0),"collection not found"))</f>
        <v/>
      </c>
    </row>
    <row r="975">
      <c r="I975" s="10">
        <f>IF(OR(H975="",B975=""),"",IFERROR(ROUND(H975*MAX(VLOOKUP(B975,Collections!$B:$D,2,FALSE),VLOOKUP(B975,Collections!$B:$D,3,FALSE)*10.7639),0),"collection not found"))</f>
        <v/>
      </c>
    </row>
    <row r="976">
      <c r="I976" s="10">
        <f>IF(OR(H976="",B976=""),"",IFERROR(ROUND(H976*MAX(VLOOKUP(B976,Collections!$B:$D,2,FALSE),VLOOKUP(B976,Collections!$B:$D,3,FALSE)*10.7639),0),"collection not found"))</f>
        <v/>
      </c>
    </row>
    <row r="977">
      <c r="I977" s="10">
        <f>IF(OR(H977="",B977=""),"",IFERROR(ROUND(H977*MAX(VLOOKUP(B977,Collections!$B:$D,2,FALSE),VLOOKUP(B977,Collections!$B:$D,3,FALSE)*10.7639),0),"collection not found"))</f>
        <v/>
      </c>
    </row>
    <row r="978">
      <c r="I978" s="10">
        <f>IF(OR(H978="",B978=""),"",IFERROR(ROUND(H978*MAX(VLOOKUP(B978,Collections!$B:$D,2,FALSE),VLOOKUP(B978,Collections!$B:$D,3,FALSE)*10.7639),0),"collection not found"))</f>
        <v/>
      </c>
    </row>
    <row r="979">
      <c r="I979" s="10">
        <f>IF(OR(H979="",B979=""),"",IFERROR(ROUND(H979*MAX(VLOOKUP(B979,Collections!$B:$D,2,FALSE),VLOOKUP(B979,Collections!$B:$D,3,FALSE)*10.7639),0),"collection not found"))</f>
        <v/>
      </c>
    </row>
    <row r="980">
      <c r="I980" s="10">
        <f>IF(OR(H980="",B980=""),"",IFERROR(ROUND(H980*MAX(VLOOKUP(B980,Collections!$B:$D,2,FALSE),VLOOKUP(B980,Collections!$B:$D,3,FALSE)*10.7639),0),"collection not found"))</f>
        <v/>
      </c>
    </row>
    <row r="981">
      <c r="I981" s="10">
        <f>IF(OR(H981="",B981=""),"",IFERROR(ROUND(H981*MAX(VLOOKUP(B981,Collections!$B:$D,2,FALSE),VLOOKUP(B981,Collections!$B:$D,3,FALSE)*10.7639),0),"collection not found"))</f>
        <v/>
      </c>
    </row>
    <row r="982">
      <c r="I982" s="10">
        <f>IF(OR(H982="",B982=""),"",IFERROR(ROUND(H982*MAX(VLOOKUP(B982,Collections!$B:$D,2,FALSE),VLOOKUP(B982,Collections!$B:$D,3,FALSE)*10.7639),0),"collection not found"))</f>
        <v/>
      </c>
    </row>
    <row r="983">
      <c r="I983" s="10">
        <f>IF(OR(H983="",B983=""),"",IFERROR(ROUND(H983*MAX(VLOOKUP(B983,Collections!$B:$D,2,FALSE),VLOOKUP(B983,Collections!$B:$D,3,FALSE)*10.7639),0),"collection not found"))</f>
        <v/>
      </c>
    </row>
    <row r="984">
      <c r="I984" s="10">
        <f>IF(OR(H984="",B984=""),"",IFERROR(ROUND(H984*MAX(VLOOKUP(B984,Collections!$B:$D,2,FALSE),VLOOKUP(B984,Collections!$B:$D,3,FALSE)*10.7639),0),"collection not found"))</f>
        <v/>
      </c>
    </row>
    <row r="985">
      <c r="I985" s="10">
        <f>IF(OR(H985="",B985=""),"",IFERROR(ROUND(H985*MAX(VLOOKUP(B985,Collections!$B:$D,2,FALSE),VLOOKUP(B985,Collections!$B:$D,3,FALSE)*10.7639),0),"collection not found"))</f>
        <v/>
      </c>
    </row>
    <row r="986">
      <c r="I986" s="10">
        <f>IF(OR(H986="",B986=""),"",IFERROR(ROUND(H986*MAX(VLOOKUP(B986,Collections!$B:$D,2,FALSE),VLOOKUP(B986,Collections!$B:$D,3,FALSE)*10.7639),0),"collection not found"))</f>
        <v/>
      </c>
    </row>
    <row r="987">
      <c r="I987" s="10">
        <f>IF(OR(H987="",B987=""),"",IFERROR(ROUND(H987*MAX(VLOOKUP(B987,Collections!$B:$D,2,FALSE),VLOOKUP(B987,Collections!$B:$D,3,FALSE)*10.7639),0),"collection not found"))</f>
        <v/>
      </c>
    </row>
    <row r="988">
      <c r="I988" s="10">
        <f>IF(OR(H988="",B988=""),"",IFERROR(ROUND(H988*MAX(VLOOKUP(B988,Collections!$B:$D,2,FALSE),VLOOKUP(B988,Collections!$B:$D,3,FALSE)*10.7639),0),"collection not found"))</f>
        <v/>
      </c>
    </row>
    <row r="989">
      <c r="I989" s="10">
        <f>IF(OR(H989="",B989=""),"",IFERROR(ROUND(H989*MAX(VLOOKUP(B989,Collections!$B:$D,2,FALSE),VLOOKUP(B989,Collections!$B:$D,3,FALSE)*10.7639),0),"collection not found"))</f>
        <v/>
      </c>
    </row>
    <row r="990">
      <c r="I990" s="10">
        <f>IF(OR(H990="",B990=""),"",IFERROR(ROUND(H990*MAX(VLOOKUP(B990,Collections!$B:$D,2,FALSE),VLOOKUP(B990,Collections!$B:$D,3,FALSE)*10.7639),0),"collection not found"))</f>
        <v/>
      </c>
    </row>
    <row r="991">
      <c r="I991" s="10">
        <f>IF(OR(H991="",B991=""),"",IFERROR(ROUND(H991*MAX(VLOOKUP(B991,Collections!$B:$D,2,FALSE),VLOOKUP(B991,Collections!$B:$D,3,FALSE)*10.7639),0),"collection not found"))</f>
        <v/>
      </c>
    </row>
    <row r="992">
      <c r="I992" s="10">
        <f>IF(OR(H992="",B992=""),"",IFERROR(ROUND(H992*MAX(VLOOKUP(B992,Collections!$B:$D,2,FALSE),VLOOKUP(B992,Collections!$B:$D,3,FALSE)*10.7639),0),"collection not found"))</f>
        <v/>
      </c>
    </row>
    <row r="993">
      <c r="I993" s="10">
        <f>IF(OR(H993="",B993=""),"",IFERROR(ROUND(H993*MAX(VLOOKUP(B993,Collections!$B:$D,2,FALSE),VLOOKUP(B993,Collections!$B:$D,3,FALSE)*10.7639),0),"collection not found"))</f>
        <v/>
      </c>
    </row>
    <row r="994">
      <c r="I994" s="10">
        <f>IF(OR(H994="",B994=""),"",IFERROR(ROUND(H994*MAX(VLOOKUP(B994,Collections!$B:$D,2,FALSE),VLOOKUP(B994,Collections!$B:$D,3,FALSE)*10.7639),0),"collection not found"))</f>
        <v/>
      </c>
    </row>
    <row r="995">
      <c r="I995" s="10">
        <f>IF(OR(H995="",B995=""),"",IFERROR(ROUND(H995*MAX(VLOOKUP(B995,Collections!$B:$D,2,FALSE),VLOOKUP(B995,Collections!$B:$D,3,FALSE)*10.7639),0),"collection not found"))</f>
        <v/>
      </c>
    </row>
    <row r="996">
      <c r="I996" s="10">
        <f>IF(OR(H996="",B996=""),"",IFERROR(ROUND(H996*MAX(VLOOKUP(B996,Collections!$B:$D,2,FALSE),VLOOKUP(B996,Collections!$B:$D,3,FALSE)*10.7639),0),"collection not found"))</f>
        <v/>
      </c>
    </row>
    <row r="997">
      <c r="I997" s="10">
        <f>IF(OR(H997="",B997=""),"",IFERROR(ROUND(H997*MAX(VLOOKUP(B997,Collections!$B:$D,2,FALSE),VLOOKUP(B997,Collections!$B:$D,3,FALSE)*10.7639),0),"collection not found"))</f>
        <v/>
      </c>
    </row>
    <row r="998">
      <c r="I998" s="10">
        <f>IF(OR(H998="",B998=""),"",IFERROR(ROUND(H998*MAX(VLOOKUP(B998,Collections!$B:$D,2,FALSE),VLOOKUP(B998,Collections!$B:$D,3,FALSE)*10.7639),0),"collection not found"))</f>
        <v/>
      </c>
    </row>
    <row r="999">
      <c r="I999" s="10">
        <f>IF(OR(H999="",B999=""),"",IFERROR(ROUND(H999*MAX(VLOOKUP(B999,Collections!$B:$D,2,FALSE),VLOOKUP(B999,Collections!$B:$D,3,FALSE)*10.7639),0),"collection not found"))</f>
        <v/>
      </c>
    </row>
    <row r="1000">
      <c r="I1000" s="10">
        <f>IF(OR(H1000="",B1000=""),"",IFERROR(ROUND(H1000*MAX(VLOOKUP(B1000,Collections!$B:$D,2,FALSE),VLOOKUP(B1000,Collections!$B:$D,3,FALSE)*10.7639),0),"collection not found"))</f>
        <v/>
      </c>
    </row>
    <row r="1001">
      <c r="I1001" s="10">
        <f>IF(OR(H1001="",B1001=""),"",IFERROR(ROUND(H1001*MAX(VLOOKUP(B1001,Collections!$B:$D,2,FALSE),VLOOKUP(B1001,Collections!$B:$D,3,FALSE)*10.7639),0),"collection not found"))</f>
        <v/>
      </c>
    </row>
  </sheetData>
  <dataValidations count="5">
    <dataValidation sqref="A2:A1000" showDropDown="0" showInputMessage="0" showErrorMessage="1" allowBlank="1" errorTitle="Not in the list" error="Choose a value from the dropdown." type="list">
      <formula1>='Categories'!$A$3:$A$1000</formula1>
    </dataValidation>
    <dataValidation sqref="B2:B1000" showDropDown="0" showInputMessage="0" showErrorMessage="1" allowBlank="1" errorTitle="Not in the list" error="Choose a value from the dropdown." type="list">
      <formula1>='Collections'!$B$3:$B$1000</formula1>
    </dataValidation>
    <dataValidation sqref="E2:E1000" showDropDown="0" showInputMessage="0" showErrorMessage="1" allowBlank="1" errorTitle="Not in the list" error="Choose a value from the dropdown." type="list">
      <formula1>=Lists!$A$2:$A$8</formula1>
    </dataValidation>
    <dataValidation sqref="G2:G1000" showDropDown="0" showInputMessage="0" showErrorMessage="1" allowBlank="1" errorTitle="Not in the list" error="Choose a value from the dropdown." type="list">
      <formula1>='Warehouses'!$A$3:$A$1000</formula1>
    </dataValidation>
    <dataValidation sqref="J2:J1000" showDropDown="0" showInputMessage="0" showErrorMessage="1" allowBlank="1" errorTitle="Not in the list" error="Choose a value from the dropdown." type="list">
      <formula1>=Lists!$B$2:$B$3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@design_types</t>
        </is>
      </c>
      <c r="B1" t="inlineStr">
        <is>
          <t>-</t>
        </is>
      </c>
    </row>
    <row r="2">
      <c r="A2" t="inlineStr">
        <is>
          <t>Plank</t>
        </is>
      </c>
      <c r="B2" t="inlineStr">
        <is>
          <t>Active</t>
        </is>
      </c>
    </row>
    <row r="3">
      <c r="A3" t="inlineStr">
        <is>
          <t>Tile</t>
        </is>
      </c>
      <c r="B3" t="inlineStr">
        <is>
          <t>Discontinued</t>
        </is>
      </c>
    </row>
    <row r="4">
      <c r="A4" t="inlineStr">
        <is>
          <t>Herringbone</t>
        </is>
      </c>
    </row>
    <row r="5">
      <c r="A5" t="inlineStr">
        <is>
          <t>Chevron</t>
        </is>
      </c>
    </row>
    <row r="6">
      <c r="A6" t="inlineStr">
        <is>
          <t>Board</t>
        </is>
      </c>
    </row>
    <row r="7">
      <c r="A7" t="inlineStr">
        <is>
          <t>Profile</t>
        </is>
      </c>
    </row>
    <row r="8">
      <c r="A8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2026-10-18T14:42:40Z</dcterms:created>
  <dcterms:modified xsi:type="dcterms:W3CDTF">2026-10-18T14:42:40Z</dcterms:modified>
</cp:coreProperties>
</file>